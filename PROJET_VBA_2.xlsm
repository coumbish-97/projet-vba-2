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PROJET VBA_2\projet-vba-2\"/>
    </mc:Choice>
  </mc:AlternateContent>
  <bookViews>
    <workbookView xWindow="0" yWindow="0" windowWidth="20490" windowHeight="7155"/>
    <workbookView xWindow="0" yWindow="0" windowWidth="20490" windowHeight="7155"/>
  </bookViews>
  <sheets>
    <sheet name="formulaire" sheetId="1" r:id="rId1"/>
    <sheet name="Feuil2" sheetId="15" r:id="rId2"/>
    <sheet name="baton" sheetId="13" state="hidden" r:id="rId3"/>
    <sheet name="nuage_points" sheetId="14" state="hidden" r:id="rId4"/>
    <sheet name="secteur" sheetId="12" state="hidden" r:id="rId5"/>
    <sheet name="INTENSITE" sheetId="7" r:id="rId6"/>
    <sheet name="GRAVITE" sheetId="8" r:id="rId7"/>
    <sheet name="ActPriseEl" sheetId="9" r:id="rId8"/>
    <sheet name="DevSuiteEl" sheetId="10" r:id="rId9"/>
    <sheet name="RelAvectrait" sheetId="11" r:id="rId10"/>
    <sheet name="brastrait" sheetId="2" r:id="rId11"/>
    <sheet name="sexe" sheetId="3" r:id="rId12"/>
    <sheet name="restg" sheetId="5" r:id="rId13"/>
    <sheet name="gepaisse" sheetId="4" r:id="rId14"/>
    <sheet name="feuil1" sheetId="6" r:id="rId1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2" i="1" l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W11" i="1" l="1"/>
  <c r="W101" i="1"/>
  <c r="W83" i="1"/>
  <c r="W3" i="1" l="1"/>
  <c r="W4" i="1"/>
  <c r="W5" i="1"/>
  <c r="W6" i="1"/>
  <c r="W7" i="1"/>
  <c r="W8" i="1"/>
  <c r="W9" i="1"/>
  <c r="W10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2" i="1"/>
  <c r="B5" i="12" l="1"/>
  <c r="B4" i="12"/>
  <c r="B6" i="12"/>
  <c r="B1" i="12"/>
  <c r="B3" i="12"/>
  <c r="B2" i="12"/>
  <c r="B7" i="12"/>
  <c r="B8" i="12" l="1"/>
</calcChain>
</file>

<file path=xl/sharedStrings.xml><?xml version="1.0" encoding="utf-8"?>
<sst xmlns="http://schemas.openxmlformats.org/spreadsheetml/2006/main" count="1433" uniqueCount="258">
  <si>
    <t>IdPatient</t>
  </si>
  <si>
    <t>BrasTrait</t>
  </si>
  <si>
    <t>Sexe</t>
  </si>
  <si>
    <t>Taille</t>
  </si>
  <si>
    <t>Poids</t>
  </si>
  <si>
    <t>DateNais</t>
  </si>
  <si>
    <t>ResTG</t>
  </si>
  <si>
    <t>Gepaisse</t>
  </si>
  <si>
    <t>Pstemie</t>
  </si>
  <si>
    <t>Spot_Sang</t>
  </si>
  <si>
    <t>Elndes</t>
  </si>
  <si>
    <t>gauche</t>
  </si>
  <si>
    <t>feminin</t>
  </si>
  <si>
    <t>masculin</t>
  </si>
  <si>
    <t>positif</t>
  </si>
  <si>
    <t>non attribuable</t>
  </si>
  <si>
    <t>negatif</t>
  </si>
  <si>
    <t>droite</t>
  </si>
  <si>
    <t>Medic</t>
  </si>
  <si>
    <t>DescrEl</t>
  </si>
  <si>
    <t>Date_Debut</t>
  </si>
  <si>
    <t>Date_Fin</t>
  </si>
  <si>
    <t>Intensite</t>
  </si>
  <si>
    <t>Gravite</t>
  </si>
  <si>
    <t>ActPriseEl</t>
  </si>
  <si>
    <t>DevSuiteEl</t>
  </si>
  <si>
    <t>RelAvecTrait</t>
  </si>
  <si>
    <t xml:space="preserve">LEGER </t>
  </si>
  <si>
    <t>MODERE</t>
  </si>
  <si>
    <t>SEVERE</t>
  </si>
  <si>
    <t>GRAVE</t>
  </si>
  <si>
    <t>NON GRAVE</t>
  </si>
  <si>
    <t>DOSE REDUITE</t>
  </si>
  <si>
    <t>HOSPITALISATION</t>
  </si>
  <si>
    <t xml:space="preserve"> AUTRE MEDICAMENT</t>
  </si>
  <si>
    <t xml:space="preserve"> AUCUNE ACTION</t>
  </si>
  <si>
    <t>RESOLU</t>
  </si>
  <si>
    <t>NON RESOLU</t>
  </si>
  <si>
    <t>DECES</t>
  </si>
  <si>
    <t>SEQUELLES</t>
  </si>
  <si>
    <t>EN COURS DE RESOLUTION</t>
  </si>
  <si>
    <t>INCONNU</t>
  </si>
  <si>
    <t>OUI</t>
  </si>
  <si>
    <t>POSSIBLE</t>
  </si>
  <si>
    <t>NON</t>
  </si>
  <si>
    <t>ON NE SAIT PAS</t>
  </si>
  <si>
    <t>IMC</t>
  </si>
  <si>
    <t>Age</t>
  </si>
  <si>
    <t>20/01/2004</t>
  </si>
  <si>
    <t>Doliprane</t>
  </si>
  <si>
    <t>Toux</t>
  </si>
  <si>
    <t>25/02/2010</t>
  </si>
  <si>
    <t>None</t>
  </si>
  <si>
    <t>20/12/1999</t>
  </si>
  <si>
    <t>none</t>
  </si>
  <si>
    <t>ventoline</t>
  </si>
  <si>
    <t>respiration aigue</t>
  </si>
  <si>
    <t>20/05/2019</t>
  </si>
  <si>
    <t>20/06/2019</t>
  </si>
  <si>
    <t>aspirine</t>
  </si>
  <si>
    <t>vision floue</t>
  </si>
  <si>
    <t>Eri</t>
  </si>
  <si>
    <t>Vertiges, Naussees</t>
  </si>
  <si>
    <t>25/03/2019</t>
  </si>
  <si>
    <t>30/03/2019</t>
  </si>
  <si>
    <t>20/03/1991</t>
  </si>
  <si>
    <t>genset</t>
  </si>
  <si>
    <t>Demangeaison</t>
  </si>
  <si>
    <t>15/10/2019</t>
  </si>
  <si>
    <t>Mequitazine</t>
  </si>
  <si>
    <t>hypertension</t>
  </si>
  <si>
    <t>25/12/2019</t>
  </si>
  <si>
    <t>Mallox</t>
  </si>
  <si>
    <t>Constipation</t>
  </si>
  <si>
    <t>22/09/2019</t>
  </si>
  <si>
    <t>25/04/1979</t>
  </si>
  <si>
    <t>Allergine</t>
  </si>
  <si>
    <t>Problemes respiratoires</t>
  </si>
  <si>
    <t>23/05/2019</t>
  </si>
  <si>
    <t>Aspirine</t>
  </si>
  <si>
    <t>hemorragie</t>
  </si>
  <si>
    <t>23/03/2019</t>
  </si>
  <si>
    <t>Vertige</t>
  </si>
  <si>
    <t>Gaviscon</t>
  </si>
  <si>
    <t>Ballonement</t>
  </si>
  <si>
    <t>19/12/2019</t>
  </si>
  <si>
    <t>Omegen</t>
  </si>
  <si>
    <t>19/01/2019</t>
  </si>
  <si>
    <t>Febrilex</t>
  </si>
  <si>
    <t>vomissement</t>
  </si>
  <si>
    <t>14/04/2019</t>
  </si>
  <si>
    <t>Antinorex</t>
  </si>
  <si>
    <t>vertiges, fatigue</t>
  </si>
  <si>
    <t>10/42/019</t>
  </si>
  <si>
    <t>Flagyl</t>
  </si>
  <si>
    <t>brulures d'estomac</t>
  </si>
  <si>
    <t>Heliconacter</t>
  </si>
  <si>
    <t>Hemorragie Digestive</t>
  </si>
  <si>
    <t>Ubiprofene</t>
  </si>
  <si>
    <t>vertiges</t>
  </si>
  <si>
    <t>Perfalgan</t>
  </si>
  <si>
    <t>Temblements</t>
  </si>
  <si>
    <t>Amoxiciline</t>
  </si>
  <si>
    <t>Vision floue</t>
  </si>
  <si>
    <t>27/06/2019</t>
  </si>
  <si>
    <t>30/06/2019</t>
  </si>
  <si>
    <t>Eferalgan</t>
  </si>
  <si>
    <t>somnolence</t>
  </si>
  <si>
    <t>24/04/1962</t>
  </si>
  <si>
    <t>Dynamogene</t>
  </si>
  <si>
    <t>30/12/2019</t>
  </si>
  <si>
    <t>24/04/1997</t>
  </si>
  <si>
    <t>antadys</t>
  </si>
  <si>
    <t>crapes musculaire</t>
  </si>
  <si>
    <t>25/02/2019</t>
  </si>
  <si>
    <t>29/02/2019</t>
  </si>
  <si>
    <t>27/04/1997</t>
  </si>
  <si>
    <t>Novalgin</t>
  </si>
  <si>
    <t>difficulte respiratoire</t>
  </si>
  <si>
    <t>27/04/1965</t>
  </si>
  <si>
    <t>Seretide</t>
  </si>
  <si>
    <t>Demangaisons</t>
  </si>
  <si>
    <t>25/09/2019</t>
  </si>
  <si>
    <t>seretide</t>
  </si>
  <si>
    <t>20/10/2019</t>
  </si>
  <si>
    <t>20/11/2019</t>
  </si>
  <si>
    <t>Hemorragie</t>
  </si>
  <si>
    <t>Perforgan</t>
  </si>
  <si>
    <t>Hallucinations</t>
  </si>
  <si>
    <t>paracetamol</t>
  </si>
  <si>
    <t>Nausees</t>
  </si>
  <si>
    <t>28/10/2002</t>
  </si>
  <si>
    <t>Ballonements</t>
  </si>
  <si>
    <t>27/07/2019</t>
  </si>
  <si>
    <t>30/02/2019</t>
  </si>
  <si>
    <t>28/10/1996</t>
  </si>
  <si>
    <t>28/10/1992</t>
  </si>
  <si>
    <t>Vision Floue</t>
  </si>
  <si>
    <t>Bipreterax</t>
  </si>
  <si>
    <t>acceleration rythme cardiaque</t>
  </si>
  <si>
    <t>15/07/2019</t>
  </si>
  <si>
    <t>Eruption cutanee</t>
  </si>
  <si>
    <t>Eruption Cutanee</t>
  </si>
  <si>
    <t>15/04/1989</t>
  </si>
  <si>
    <t>Ilax</t>
  </si>
  <si>
    <t>19/04/1989</t>
  </si>
  <si>
    <t>17/07/2019</t>
  </si>
  <si>
    <t>19/04/1970</t>
  </si>
  <si>
    <t>Crampe Musculaire</t>
  </si>
  <si>
    <t>17/09/2019</t>
  </si>
  <si>
    <t>21/09/2019</t>
  </si>
  <si>
    <t>19/04/1956</t>
  </si>
  <si>
    <t>crampe musculaire</t>
  </si>
  <si>
    <t>15/09/2019</t>
  </si>
  <si>
    <t>19/09/2019</t>
  </si>
  <si>
    <t>19/04/1948</t>
  </si>
  <si>
    <t>Alvityl</t>
  </si>
  <si>
    <t>Vomissements</t>
  </si>
  <si>
    <t>15/12/2019</t>
  </si>
  <si>
    <t>31/12/2019</t>
  </si>
  <si>
    <t>30/07/1952</t>
  </si>
  <si>
    <t>Magnesium</t>
  </si>
  <si>
    <t>Crapes</t>
  </si>
  <si>
    <t>14/12/2019</t>
  </si>
  <si>
    <t>31/01/1999</t>
  </si>
  <si>
    <t>Genset</t>
  </si>
  <si>
    <t>Somnolence</t>
  </si>
  <si>
    <t>25/05/1957</t>
  </si>
  <si>
    <t>tremblements</t>
  </si>
  <si>
    <t>Dilatation des papilles</t>
  </si>
  <si>
    <t>Cephalees</t>
  </si>
  <si>
    <t>18/05/1990</t>
  </si>
  <si>
    <t>18/11/1990</t>
  </si>
  <si>
    <t>Maalox</t>
  </si>
  <si>
    <t>26/11/1990</t>
  </si>
  <si>
    <t>Antadys</t>
  </si>
  <si>
    <t>vertige</t>
  </si>
  <si>
    <t>20/01/2019</t>
  </si>
  <si>
    <t>24/11/2019</t>
  </si>
  <si>
    <t>20/01/2007</t>
  </si>
  <si>
    <t>25/11/2019</t>
  </si>
  <si>
    <t>27/11/2019</t>
  </si>
  <si>
    <t>20/03/2001</t>
  </si>
  <si>
    <t>30/11/2019</t>
  </si>
  <si>
    <t>20/03/2010</t>
  </si>
  <si>
    <t>Bioreterax</t>
  </si>
  <si>
    <t>25/01/2019</t>
  </si>
  <si>
    <t>14/02/1999</t>
  </si>
  <si>
    <t>Ventoline</t>
  </si>
  <si>
    <t>Vision flou</t>
  </si>
  <si>
    <t>14/02/1978</t>
  </si>
  <si>
    <t>15/01/2019</t>
  </si>
  <si>
    <t>24/02/1978</t>
  </si>
  <si>
    <t>15/02/2019</t>
  </si>
  <si>
    <t>21/02/2019</t>
  </si>
  <si>
    <t>24/02/1958</t>
  </si>
  <si>
    <t>probleme respiration</t>
  </si>
  <si>
    <t>15/03/2019</t>
  </si>
  <si>
    <t>21/04/2019</t>
  </si>
  <si>
    <t>24/02/1992</t>
  </si>
  <si>
    <t>hallucinations</t>
  </si>
  <si>
    <t>22/03/2019</t>
  </si>
  <si>
    <t>Litacold</t>
  </si>
  <si>
    <t>vomissements</t>
  </si>
  <si>
    <t>22/09/1998</t>
  </si>
  <si>
    <t>Crampes</t>
  </si>
  <si>
    <t>Seritide</t>
  </si>
  <si>
    <t>crampes</t>
  </si>
  <si>
    <t>22/11/2019</t>
  </si>
  <si>
    <t>22/09/1951</t>
  </si>
  <si>
    <t>22/09/1986</t>
  </si>
  <si>
    <t>Demangeaisons</t>
  </si>
  <si>
    <t>Allergines</t>
  </si>
  <si>
    <t>22/09/1993</t>
  </si>
  <si>
    <t>Allegines</t>
  </si>
  <si>
    <t>22/07/2019</t>
  </si>
  <si>
    <t>25/07/2019</t>
  </si>
  <si>
    <t>22/09/1990</t>
  </si>
  <si>
    <t>22/20/2019</t>
  </si>
  <si>
    <t>22/12/2019</t>
  </si>
  <si>
    <t>22/09/2005</t>
  </si>
  <si>
    <t>22/09/2015</t>
  </si>
  <si>
    <t>22/09/2000</t>
  </si>
  <si>
    <t>21/01/2020</t>
  </si>
  <si>
    <t>22/09/1995</t>
  </si>
  <si>
    <t>Diarrhee</t>
  </si>
  <si>
    <t>Crampes pulmonaires</t>
  </si>
  <si>
    <t>21/12/2019</t>
  </si>
  <si>
    <t>22/09/1981</t>
  </si>
  <si>
    <t>Vertiges</t>
  </si>
  <si>
    <t>23/12/1991</t>
  </si>
  <si>
    <t>23/10/1991</t>
  </si>
  <si>
    <t>Augmentation rythme Cardiaque</t>
  </si>
  <si>
    <t>23/06/1949</t>
  </si>
  <si>
    <t>augmentation rythme cardiaque</t>
  </si>
  <si>
    <t>16/09/2019</t>
  </si>
  <si>
    <t>Enflements</t>
  </si>
  <si>
    <t>20/02/2019</t>
  </si>
  <si>
    <t>25/04/2019</t>
  </si>
  <si>
    <t>17/06/2019</t>
  </si>
  <si>
    <t>Bipretax</t>
  </si>
  <si>
    <t>Acceleration rythme cardiaque</t>
  </si>
  <si>
    <t>22/08/2019</t>
  </si>
  <si>
    <t>Fatigue</t>
  </si>
  <si>
    <t>15/04/2019</t>
  </si>
  <si>
    <t>15/11/2019</t>
  </si>
  <si>
    <t>27/10/2019</t>
  </si>
  <si>
    <t>FEBRILEX</t>
  </si>
  <si>
    <t>VOMISSEMENT</t>
  </si>
  <si>
    <t>Nature IMC</t>
  </si>
  <si>
    <t>obesite moderee</t>
  </si>
  <si>
    <t>obesite severe</t>
  </si>
  <si>
    <t>surpoids</t>
  </si>
  <si>
    <t>maigreur</t>
  </si>
  <si>
    <t>Obésité morbide ou massive</t>
  </si>
  <si>
    <t>Dénutrition ou anorexie</t>
  </si>
  <si>
    <t>total</t>
  </si>
  <si>
    <t xml:space="preserve">poids normal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</si>
</sst>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"/>
  </numFmts>
  <fonts count="6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/>
    <xf numFmtId="164" fontId="0" fillId="0" borderId="0" xfId="0" applyNumberFormat="1"/>
    <xf numFmtId="0" fontId="2" fillId="0" borderId="1" xfId="0" applyFont="1" applyBorder="1"/>
    <xf numFmtId="0" fontId="3" fillId="0" borderId="0" xfId="0" applyFont="1" applyBorder="1"/>
    <xf numFmtId="0" fontId="3" fillId="0" borderId="0" xfId="0" applyFont="1"/>
    <xf numFmtId="164" fontId="2" fillId="0" borderId="1" xfId="0" applyNumberFormat="1" applyFont="1" applyFill="1" applyBorder="1"/>
    <xf numFmtId="164" fontId="2" fillId="0" borderId="1" xfId="0" applyNumberFormat="1" applyFont="1" applyBorder="1"/>
    <xf numFmtId="0" fontId="0" fillId="0" borderId="1" xfId="0" applyBorder="1"/>
    <xf numFmtId="0" fontId="0" fillId="0" borderId="1" xfId="0" applyFont="1" applyBorder="1"/>
    <xf numFmtId="0" fontId="4" fillId="0" borderId="1" xfId="0" applyFont="1" applyBorder="1"/>
    <xf numFmtId="0" fontId="4" fillId="0" borderId="0" xfId="0" applyFont="1" applyBorder="1"/>
    <xf numFmtId="0" fontId="4" fillId="0" borderId="0" xfId="0" applyFont="1"/>
    <xf numFmtId="14" fontId="4" fillId="0" borderId="2" xfId="0" applyNumberFormat="1" applyFont="1" applyFill="1" applyBorder="1"/>
    <xf numFmtId="14" fontId="4" fillId="0" borderId="0" xfId="0" applyNumberFormat="1" applyFont="1" applyBorder="1" applyAlignment="1">
      <alignment horizontal="center"/>
    </xf>
    <xf numFmtId="14" fontId="4" fillId="0" borderId="0" xfId="0" applyNumberFormat="1" applyFont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164" fontId="4" fillId="0" borderId="0" xfId="0" applyNumberFormat="1" applyFont="1"/>
    <xf numFmtId="14" fontId="4" fillId="0" borderId="0" xfId="0" applyNumberFormat="1" applyFont="1" applyAlignment="1">
      <alignment horizontal="center"/>
    </xf>
    <xf numFmtId="14" fontId="2" fillId="0" borderId="1" xfId="0" applyNumberFormat="1" applyFont="1" applyBorder="1" applyAlignment="1">
      <alignment horizontal="center"/>
    </xf>
    <xf numFmtId="14" fontId="2" fillId="0" borderId="1" xfId="0" applyNumberFormat="1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1" xfId="0" applyFont="1" applyBorder="1" applyAlignment="1">
      <alignment horizontal="center"/>
    </xf>
    <xf numFmtId="0" fontId="5" fillId="0" borderId="1" xfId="0" applyFont="1" applyBorder="1" applyAlignment="1">
      <alignment vertical="center" wrapText="1"/>
    </xf>
    <xf numFmtId="0" fontId="2" fillId="0" borderId="1" xfId="0" applyFont="1" applyFill="1" applyBorder="1" applyAlignment="1">
      <alignment horizontal="right"/>
    </xf>
    <xf numFmtId="14" fontId="2" fillId="0" borderId="1" xfId="0" applyNumberFormat="1" applyFont="1" applyFill="1" applyBorder="1"/>
    <xf numFmtId="0" fontId="2" fillId="0" borderId="1" xfId="0" applyFont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diagramme_baton</a:t>
            </a:r>
          </a:p>
        </c:rich>
      </c:tx>
      <c:layout>
        <c:manualLayout>
          <c:xMode val="edge"/>
          <c:yMode val="edge"/>
          <c:x val="0.37159055118110235"/>
          <c:y val="3.95647873392680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baton!$C$1</c:f>
              <c:strCache>
                <c:ptCount val="1"/>
                <c:pt idx="0">
                  <c:v>IdPatient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baton!$B$2:$B$101</c:f>
              <c:strCache>
                <c:ptCount val="100"/>
                <c:pt idx="0">
                  <c:v>Doliprane</c:v>
                </c:pt>
                <c:pt idx="1">
                  <c:v>ventoline</c:v>
                </c:pt>
                <c:pt idx="2">
                  <c:v>aspirine</c:v>
                </c:pt>
                <c:pt idx="3">
                  <c:v>Eri</c:v>
                </c:pt>
                <c:pt idx="4">
                  <c:v>genset</c:v>
                </c:pt>
                <c:pt idx="5">
                  <c:v>Mequitazine</c:v>
                </c:pt>
                <c:pt idx="6">
                  <c:v>Mallox</c:v>
                </c:pt>
                <c:pt idx="7">
                  <c:v>Allergine</c:v>
                </c:pt>
                <c:pt idx="8">
                  <c:v>Aspirine</c:v>
                </c:pt>
                <c:pt idx="9">
                  <c:v>Doliprane</c:v>
                </c:pt>
                <c:pt idx="10">
                  <c:v>Gaviscon</c:v>
                </c:pt>
                <c:pt idx="11">
                  <c:v>Omegen</c:v>
                </c:pt>
                <c:pt idx="12">
                  <c:v>FEBRILEX</c:v>
                </c:pt>
                <c:pt idx="13">
                  <c:v>Antinorex</c:v>
                </c:pt>
                <c:pt idx="14">
                  <c:v>Flagyl</c:v>
                </c:pt>
                <c:pt idx="15">
                  <c:v>Heliconacter</c:v>
                </c:pt>
                <c:pt idx="16">
                  <c:v>Ubiprofene</c:v>
                </c:pt>
                <c:pt idx="17">
                  <c:v>Perfalgan</c:v>
                </c:pt>
                <c:pt idx="18">
                  <c:v>Amoxiciline</c:v>
                </c:pt>
                <c:pt idx="19">
                  <c:v>Eferalgan</c:v>
                </c:pt>
                <c:pt idx="20">
                  <c:v>Dynamogene</c:v>
                </c:pt>
                <c:pt idx="21">
                  <c:v>antadys</c:v>
                </c:pt>
                <c:pt idx="22">
                  <c:v>Novalgin</c:v>
                </c:pt>
                <c:pt idx="23">
                  <c:v>Seretide</c:v>
                </c:pt>
                <c:pt idx="24">
                  <c:v>seretide</c:v>
                </c:pt>
                <c:pt idx="25">
                  <c:v>Aspirine</c:v>
                </c:pt>
                <c:pt idx="26">
                  <c:v>Aspirine</c:v>
                </c:pt>
                <c:pt idx="27">
                  <c:v>Perforgan</c:v>
                </c:pt>
                <c:pt idx="28">
                  <c:v>paracetamol</c:v>
                </c:pt>
                <c:pt idx="29">
                  <c:v>Omegen</c:v>
                </c:pt>
                <c:pt idx="30">
                  <c:v>Gaviscon</c:v>
                </c:pt>
                <c:pt idx="31">
                  <c:v>Aspirine</c:v>
                </c:pt>
                <c:pt idx="32">
                  <c:v>Aspirine</c:v>
                </c:pt>
                <c:pt idx="33">
                  <c:v>Bipreterax</c:v>
                </c:pt>
                <c:pt idx="34">
                  <c:v>Allergine</c:v>
                </c:pt>
                <c:pt idx="35">
                  <c:v>Allergine</c:v>
                </c:pt>
                <c:pt idx="36">
                  <c:v>Ilax</c:v>
                </c:pt>
                <c:pt idx="37">
                  <c:v>ventoline</c:v>
                </c:pt>
                <c:pt idx="38">
                  <c:v>Bipreterax</c:v>
                </c:pt>
                <c:pt idx="39">
                  <c:v>Bipreterax</c:v>
                </c:pt>
                <c:pt idx="40">
                  <c:v>Alvityl</c:v>
                </c:pt>
                <c:pt idx="41">
                  <c:v>Magnesium</c:v>
                </c:pt>
                <c:pt idx="42">
                  <c:v>Genset</c:v>
                </c:pt>
                <c:pt idx="43">
                  <c:v>Genset</c:v>
                </c:pt>
                <c:pt idx="44">
                  <c:v>Allergine</c:v>
                </c:pt>
                <c:pt idx="45">
                  <c:v>Allergine</c:v>
                </c:pt>
                <c:pt idx="46">
                  <c:v>Allergine</c:v>
                </c:pt>
                <c:pt idx="47">
                  <c:v>Antinorex</c:v>
                </c:pt>
                <c:pt idx="48">
                  <c:v>Maalox</c:v>
                </c:pt>
                <c:pt idx="49">
                  <c:v>Antadys</c:v>
                </c:pt>
                <c:pt idx="50">
                  <c:v>Eri</c:v>
                </c:pt>
                <c:pt idx="51">
                  <c:v>Eri</c:v>
                </c:pt>
                <c:pt idx="52">
                  <c:v>Eri</c:v>
                </c:pt>
                <c:pt idx="53">
                  <c:v>Bioreterax</c:v>
                </c:pt>
                <c:pt idx="54">
                  <c:v>Ventoline</c:v>
                </c:pt>
                <c:pt idx="55">
                  <c:v>Aspirine</c:v>
                </c:pt>
                <c:pt idx="56">
                  <c:v>Aspirine</c:v>
                </c:pt>
                <c:pt idx="57">
                  <c:v>Aspirine</c:v>
                </c:pt>
                <c:pt idx="58">
                  <c:v>Aspirine</c:v>
                </c:pt>
                <c:pt idx="59">
                  <c:v>Aspirine</c:v>
                </c:pt>
                <c:pt idx="60">
                  <c:v>Febrilex</c:v>
                </c:pt>
                <c:pt idx="61">
                  <c:v>Febrilex</c:v>
                </c:pt>
                <c:pt idx="62">
                  <c:v>Febrilex</c:v>
                </c:pt>
                <c:pt idx="63">
                  <c:v>Litacold</c:v>
                </c:pt>
                <c:pt idx="64">
                  <c:v>Litacold</c:v>
                </c:pt>
                <c:pt idx="65">
                  <c:v>Litacold</c:v>
                </c:pt>
                <c:pt idx="66">
                  <c:v>Seretide</c:v>
                </c:pt>
                <c:pt idx="67">
                  <c:v>Seritide</c:v>
                </c:pt>
                <c:pt idx="68">
                  <c:v>Seretide</c:v>
                </c:pt>
                <c:pt idx="69">
                  <c:v>Seretide</c:v>
                </c:pt>
                <c:pt idx="70">
                  <c:v>Seretide</c:v>
                </c:pt>
                <c:pt idx="71">
                  <c:v>seretide</c:v>
                </c:pt>
                <c:pt idx="72">
                  <c:v>Allergines</c:v>
                </c:pt>
                <c:pt idx="73">
                  <c:v>Allegines</c:v>
                </c:pt>
                <c:pt idx="74">
                  <c:v>Allergines</c:v>
                </c:pt>
                <c:pt idx="75">
                  <c:v>Bipreterax</c:v>
                </c:pt>
                <c:pt idx="76">
                  <c:v>Febrilex</c:v>
                </c:pt>
                <c:pt idx="77">
                  <c:v>Febrilex</c:v>
                </c:pt>
                <c:pt idx="78">
                  <c:v>Antadys</c:v>
                </c:pt>
                <c:pt idx="79">
                  <c:v>Ventoline</c:v>
                </c:pt>
                <c:pt idx="80">
                  <c:v>Ventoline</c:v>
                </c:pt>
                <c:pt idx="81">
                  <c:v>Ventoline</c:v>
                </c:pt>
                <c:pt idx="82">
                  <c:v>Seretide</c:v>
                </c:pt>
                <c:pt idx="83">
                  <c:v>Seretide</c:v>
                </c:pt>
                <c:pt idx="84">
                  <c:v>Gaviscon</c:v>
                </c:pt>
                <c:pt idx="85">
                  <c:v>Gaviscon</c:v>
                </c:pt>
                <c:pt idx="86">
                  <c:v>Maalox</c:v>
                </c:pt>
                <c:pt idx="87">
                  <c:v>Aspirine</c:v>
                </c:pt>
                <c:pt idx="88">
                  <c:v>Aspirine</c:v>
                </c:pt>
                <c:pt idx="89">
                  <c:v>Aspirine</c:v>
                </c:pt>
                <c:pt idx="90">
                  <c:v>Ubiprofene</c:v>
                </c:pt>
                <c:pt idx="91">
                  <c:v>Ubiprofene</c:v>
                </c:pt>
                <c:pt idx="92">
                  <c:v>Alvityl</c:v>
                </c:pt>
                <c:pt idx="93">
                  <c:v>Alvityl</c:v>
                </c:pt>
                <c:pt idx="94">
                  <c:v>Antinorex</c:v>
                </c:pt>
                <c:pt idx="95">
                  <c:v>Dynamogene</c:v>
                </c:pt>
                <c:pt idx="96">
                  <c:v>Bipretax</c:v>
                </c:pt>
                <c:pt idx="97">
                  <c:v>Amoxiciline</c:v>
                </c:pt>
                <c:pt idx="98">
                  <c:v>Ilax</c:v>
                </c:pt>
                <c:pt idx="99">
                  <c:v>Seretide</c:v>
                </c:pt>
              </c:strCache>
            </c:strRef>
          </c:cat>
          <c:val>
            <c:numRef>
              <c:f>baton!$C$2:$C$101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360191776"/>
        <c:axId val="1441237328"/>
      </c:barChart>
      <c:catAx>
        <c:axId val="1360191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41237328"/>
        <c:crosses val="autoZero"/>
        <c:auto val="1"/>
        <c:lblAlgn val="ctr"/>
        <c:lblOffset val="100"/>
        <c:noMultiLvlLbl val="0"/>
      </c:catAx>
      <c:valAx>
        <c:axId val="1441237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60191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nuages_points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nuage_points!$B$1</c:f>
              <c:strCache>
                <c:ptCount val="1"/>
                <c:pt idx="0">
                  <c:v>Poids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nuage_points!$A$2:$A$101</c:f>
              <c:numCache>
                <c:formatCode>General</c:formatCode>
                <c:ptCount val="100"/>
                <c:pt idx="0">
                  <c:v>165</c:v>
                </c:pt>
                <c:pt idx="1">
                  <c:v>180</c:v>
                </c:pt>
                <c:pt idx="2">
                  <c:v>169</c:v>
                </c:pt>
                <c:pt idx="3">
                  <c:v>187</c:v>
                </c:pt>
                <c:pt idx="4">
                  <c:v>182</c:v>
                </c:pt>
                <c:pt idx="5">
                  <c:v>171</c:v>
                </c:pt>
                <c:pt idx="6">
                  <c:v>175</c:v>
                </c:pt>
                <c:pt idx="7">
                  <c:v>181</c:v>
                </c:pt>
                <c:pt idx="8">
                  <c:v>169</c:v>
                </c:pt>
                <c:pt idx="9">
                  <c:v>190</c:v>
                </c:pt>
                <c:pt idx="10">
                  <c:v>170</c:v>
                </c:pt>
                <c:pt idx="11">
                  <c:v>170</c:v>
                </c:pt>
                <c:pt idx="12">
                  <c:v>159</c:v>
                </c:pt>
                <c:pt idx="13">
                  <c:v>182</c:v>
                </c:pt>
                <c:pt idx="14">
                  <c:v>172</c:v>
                </c:pt>
                <c:pt idx="15">
                  <c:v>172</c:v>
                </c:pt>
                <c:pt idx="16">
                  <c:v>172</c:v>
                </c:pt>
                <c:pt idx="17">
                  <c:v>155</c:v>
                </c:pt>
                <c:pt idx="18">
                  <c:v>162</c:v>
                </c:pt>
                <c:pt idx="19">
                  <c:v>130</c:v>
                </c:pt>
                <c:pt idx="20">
                  <c:v>170</c:v>
                </c:pt>
                <c:pt idx="21">
                  <c:v>170</c:v>
                </c:pt>
                <c:pt idx="22">
                  <c:v>167</c:v>
                </c:pt>
                <c:pt idx="23">
                  <c:v>186</c:v>
                </c:pt>
                <c:pt idx="24">
                  <c:v>186</c:v>
                </c:pt>
                <c:pt idx="25">
                  <c:v>186</c:v>
                </c:pt>
                <c:pt idx="26">
                  <c:v>166</c:v>
                </c:pt>
                <c:pt idx="27">
                  <c:v>166</c:v>
                </c:pt>
                <c:pt idx="28">
                  <c:v>155</c:v>
                </c:pt>
                <c:pt idx="29">
                  <c:v>170</c:v>
                </c:pt>
                <c:pt idx="30">
                  <c:v>170</c:v>
                </c:pt>
                <c:pt idx="31">
                  <c:v>178</c:v>
                </c:pt>
                <c:pt idx="32">
                  <c:v>178</c:v>
                </c:pt>
                <c:pt idx="33">
                  <c:v>178</c:v>
                </c:pt>
                <c:pt idx="34">
                  <c:v>180</c:v>
                </c:pt>
                <c:pt idx="35">
                  <c:v>180</c:v>
                </c:pt>
                <c:pt idx="36">
                  <c:v>159</c:v>
                </c:pt>
                <c:pt idx="37">
                  <c:v>178</c:v>
                </c:pt>
                <c:pt idx="38">
                  <c:v>178</c:v>
                </c:pt>
                <c:pt idx="39">
                  <c:v>178</c:v>
                </c:pt>
                <c:pt idx="40">
                  <c:v>178</c:v>
                </c:pt>
                <c:pt idx="41">
                  <c:v>179</c:v>
                </c:pt>
                <c:pt idx="42">
                  <c:v>196</c:v>
                </c:pt>
                <c:pt idx="43">
                  <c:v>161</c:v>
                </c:pt>
                <c:pt idx="44">
                  <c:v>161</c:v>
                </c:pt>
                <c:pt idx="45">
                  <c:v>171</c:v>
                </c:pt>
                <c:pt idx="46">
                  <c:v>171</c:v>
                </c:pt>
                <c:pt idx="47">
                  <c:v>191</c:v>
                </c:pt>
                <c:pt idx="48">
                  <c:v>191</c:v>
                </c:pt>
                <c:pt idx="49">
                  <c:v>167</c:v>
                </c:pt>
                <c:pt idx="50">
                  <c:v>120</c:v>
                </c:pt>
                <c:pt idx="51">
                  <c:v>145</c:v>
                </c:pt>
                <c:pt idx="52">
                  <c:v>145</c:v>
                </c:pt>
                <c:pt idx="53">
                  <c:v>172</c:v>
                </c:pt>
                <c:pt idx="54">
                  <c:v>192</c:v>
                </c:pt>
                <c:pt idx="55">
                  <c:v>192</c:v>
                </c:pt>
                <c:pt idx="56">
                  <c:v>162</c:v>
                </c:pt>
                <c:pt idx="57">
                  <c:v>162</c:v>
                </c:pt>
                <c:pt idx="58">
                  <c:v>162</c:v>
                </c:pt>
                <c:pt idx="59">
                  <c:v>162</c:v>
                </c:pt>
                <c:pt idx="60">
                  <c:v>187</c:v>
                </c:pt>
                <c:pt idx="61">
                  <c:v>187</c:v>
                </c:pt>
                <c:pt idx="62">
                  <c:v>187</c:v>
                </c:pt>
                <c:pt idx="63">
                  <c:v>187</c:v>
                </c:pt>
                <c:pt idx="64">
                  <c:v>187</c:v>
                </c:pt>
                <c:pt idx="65">
                  <c:v>187</c:v>
                </c:pt>
                <c:pt idx="66">
                  <c:v>187</c:v>
                </c:pt>
                <c:pt idx="67">
                  <c:v>187</c:v>
                </c:pt>
                <c:pt idx="68">
                  <c:v>187</c:v>
                </c:pt>
                <c:pt idx="69">
                  <c:v>187</c:v>
                </c:pt>
                <c:pt idx="70">
                  <c:v>187</c:v>
                </c:pt>
                <c:pt idx="71">
                  <c:v>187</c:v>
                </c:pt>
                <c:pt idx="72">
                  <c:v>195</c:v>
                </c:pt>
                <c:pt idx="73">
                  <c:v>195</c:v>
                </c:pt>
                <c:pt idx="74">
                  <c:v>195</c:v>
                </c:pt>
                <c:pt idx="75">
                  <c:v>195</c:v>
                </c:pt>
                <c:pt idx="76">
                  <c:v>156</c:v>
                </c:pt>
                <c:pt idx="77">
                  <c:v>156</c:v>
                </c:pt>
                <c:pt idx="78">
                  <c:v>156</c:v>
                </c:pt>
                <c:pt idx="79">
                  <c:v>156</c:v>
                </c:pt>
                <c:pt idx="80">
                  <c:v>156</c:v>
                </c:pt>
                <c:pt idx="81">
                  <c:v>176</c:v>
                </c:pt>
                <c:pt idx="82">
                  <c:v>195</c:v>
                </c:pt>
                <c:pt idx="83">
                  <c:v>195</c:v>
                </c:pt>
                <c:pt idx="84">
                  <c:v>185</c:v>
                </c:pt>
                <c:pt idx="85">
                  <c:v>155</c:v>
                </c:pt>
                <c:pt idx="86">
                  <c:v>155</c:v>
                </c:pt>
                <c:pt idx="87">
                  <c:v>165</c:v>
                </c:pt>
                <c:pt idx="88">
                  <c:v>165</c:v>
                </c:pt>
                <c:pt idx="89">
                  <c:v>175</c:v>
                </c:pt>
                <c:pt idx="90">
                  <c:v>160</c:v>
                </c:pt>
                <c:pt idx="91">
                  <c:v>173</c:v>
                </c:pt>
                <c:pt idx="92">
                  <c:v>187</c:v>
                </c:pt>
                <c:pt idx="93">
                  <c:v>180</c:v>
                </c:pt>
                <c:pt idx="94">
                  <c:v>180</c:v>
                </c:pt>
                <c:pt idx="95">
                  <c:v>180</c:v>
                </c:pt>
                <c:pt idx="96">
                  <c:v>180</c:v>
                </c:pt>
                <c:pt idx="97">
                  <c:v>165</c:v>
                </c:pt>
                <c:pt idx="98">
                  <c:v>165</c:v>
                </c:pt>
                <c:pt idx="99">
                  <c:v>117</c:v>
                </c:pt>
              </c:numCache>
            </c:numRef>
          </c:xVal>
          <c:yVal>
            <c:numRef>
              <c:f>nuage_points!$B$2:$B$101</c:f>
              <c:numCache>
                <c:formatCode>General</c:formatCode>
                <c:ptCount val="100"/>
                <c:pt idx="0">
                  <c:v>55</c:v>
                </c:pt>
                <c:pt idx="1">
                  <c:v>70</c:v>
                </c:pt>
                <c:pt idx="2">
                  <c:v>80</c:v>
                </c:pt>
                <c:pt idx="3">
                  <c:v>76</c:v>
                </c:pt>
                <c:pt idx="4">
                  <c:v>93</c:v>
                </c:pt>
                <c:pt idx="5">
                  <c:v>90</c:v>
                </c:pt>
                <c:pt idx="6">
                  <c:v>55</c:v>
                </c:pt>
                <c:pt idx="7">
                  <c:v>91</c:v>
                </c:pt>
                <c:pt idx="8">
                  <c:v>60</c:v>
                </c:pt>
                <c:pt idx="9">
                  <c:v>110</c:v>
                </c:pt>
                <c:pt idx="10">
                  <c:v>45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110</c:v>
                </c:pt>
                <c:pt idx="15">
                  <c:v>58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25</c:v>
                </c:pt>
                <c:pt idx="20">
                  <c:v>95</c:v>
                </c:pt>
                <c:pt idx="21">
                  <c:v>55</c:v>
                </c:pt>
                <c:pt idx="22">
                  <c:v>115</c:v>
                </c:pt>
                <c:pt idx="23">
                  <c:v>115</c:v>
                </c:pt>
                <c:pt idx="24">
                  <c:v>65</c:v>
                </c:pt>
                <c:pt idx="25">
                  <c:v>62</c:v>
                </c:pt>
                <c:pt idx="26">
                  <c:v>69</c:v>
                </c:pt>
                <c:pt idx="27">
                  <c:v>80</c:v>
                </c:pt>
                <c:pt idx="28">
                  <c:v>101</c:v>
                </c:pt>
                <c:pt idx="29">
                  <c:v>46</c:v>
                </c:pt>
                <c:pt idx="30">
                  <c:v>89</c:v>
                </c:pt>
                <c:pt idx="31">
                  <c:v>89</c:v>
                </c:pt>
                <c:pt idx="32">
                  <c:v>54</c:v>
                </c:pt>
                <c:pt idx="33">
                  <c:v>54</c:v>
                </c:pt>
                <c:pt idx="34">
                  <c:v>76</c:v>
                </c:pt>
                <c:pt idx="35">
                  <c:v>103</c:v>
                </c:pt>
                <c:pt idx="36">
                  <c:v>76</c:v>
                </c:pt>
                <c:pt idx="37">
                  <c:v>90</c:v>
                </c:pt>
                <c:pt idx="38">
                  <c:v>96</c:v>
                </c:pt>
                <c:pt idx="39">
                  <c:v>87</c:v>
                </c:pt>
                <c:pt idx="40">
                  <c:v>62</c:v>
                </c:pt>
                <c:pt idx="41">
                  <c:v>68</c:v>
                </c:pt>
                <c:pt idx="42">
                  <c:v>65</c:v>
                </c:pt>
                <c:pt idx="43">
                  <c:v>65</c:v>
                </c:pt>
                <c:pt idx="44">
                  <c:v>76</c:v>
                </c:pt>
                <c:pt idx="45">
                  <c:v>76</c:v>
                </c:pt>
                <c:pt idx="46">
                  <c:v>86</c:v>
                </c:pt>
                <c:pt idx="47">
                  <c:v>80</c:v>
                </c:pt>
                <c:pt idx="48">
                  <c:v>87</c:v>
                </c:pt>
                <c:pt idx="49">
                  <c:v>87</c:v>
                </c:pt>
                <c:pt idx="50">
                  <c:v>20</c:v>
                </c:pt>
                <c:pt idx="51">
                  <c:v>42</c:v>
                </c:pt>
                <c:pt idx="52">
                  <c:v>68</c:v>
                </c:pt>
                <c:pt idx="53">
                  <c:v>104</c:v>
                </c:pt>
                <c:pt idx="54">
                  <c:v>110</c:v>
                </c:pt>
                <c:pt idx="55">
                  <c:v>89</c:v>
                </c:pt>
                <c:pt idx="56">
                  <c:v>93</c:v>
                </c:pt>
                <c:pt idx="57">
                  <c:v>93</c:v>
                </c:pt>
                <c:pt idx="58">
                  <c:v>65</c:v>
                </c:pt>
                <c:pt idx="59">
                  <c:v>65</c:v>
                </c:pt>
                <c:pt idx="60">
                  <c:v>71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61</c:v>
                </c:pt>
                <c:pt idx="70">
                  <c:v>61</c:v>
                </c:pt>
                <c:pt idx="71">
                  <c:v>61</c:v>
                </c:pt>
                <c:pt idx="72">
                  <c:v>61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56</c:v>
                </c:pt>
                <c:pt idx="81">
                  <c:v>40</c:v>
                </c:pt>
                <c:pt idx="82">
                  <c:v>51</c:v>
                </c:pt>
                <c:pt idx="83">
                  <c:v>51</c:v>
                </c:pt>
                <c:pt idx="84">
                  <c:v>71</c:v>
                </c:pt>
                <c:pt idx="85">
                  <c:v>71</c:v>
                </c:pt>
                <c:pt idx="86">
                  <c:v>71</c:v>
                </c:pt>
                <c:pt idx="87">
                  <c:v>71</c:v>
                </c:pt>
                <c:pt idx="88">
                  <c:v>81</c:v>
                </c:pt>
                <c:pt idx="89">
                  <c:v>91</c:v>
                </c:pt>
                <c:pt idx="90">
                  <c:v>91</c:v>
                </c:pt>
                <c:pt idx="91">
                  <c:v>72</c:v>
                </c:pt>
                <c:pt idx="92">
                  <c:v>59</c:v>
                </c:pt>
                <c:pt idx="93">
                  <c:v>91</c:v>
                </c:pt>
                <c:pt idx="94">
                  <c:v>54</c:v>
                </c:pt>
                <c:pt idx="95">
                  <c:v>84</c:v>
                </c:pt>
                <c:pt idx="96">
                  <c:v>84</c:v>
                </c:pt>
                <c:pt idx="97">
                  <c:v>96</c:v>
                </c:pt>
                <c:pt idx="98">
                  <c:v>61</c:v>
                </c:pt>
                <c:pt idx="99">
                  <c:v>116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nuage_points!$C$1</c:f>
              <c:strCache>
                <c:ptCount val="1"/>
                <c:pt idx="0">
                  <c:v>IMC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nuage_points!$A$2:$A$101</c:f>
              <c:numCache>
                <c:formatCode>General</c:formatCode>
                <c:ptCount val="100"/>
                <c:pt idx="0">
                  <c:v>165</c:v>
                </c:pt>
                <c:pt idx="1">
                  <c:v>180</c:v>
                </c:pt>
                <c:pt idx="2">
                  <c:v>169</c:v>
                </c:pt>
                <c:pt idx="3">
                  <c:v>187</c:v>
                </c:pt>
                <c:pt idx="4">
                  <c:v>182</c:v>
                </c:pt>
                <c:pt idx="5">
                  <c:v>171</c:v>
                </c:pt>
                <c:pt idx="6">
                  <c:v>175</c:v>
                </c:pt>
                <c:pt idx="7">
                  <c:v>181</c:v>
                </c:pt>
                <c:pt idx="8">
                  <c:v>169</c:v>
                </c:pt>
                <c:pt idx="9">
                  <c:v>190</c:v>
                </c:pt>
                <c:pt idx="10">
                  <c:v>170</c:v>
                </c:pt>
                <c:pt idx="11">
                  <c:v>170</c:v>
                </c:pt>
                <c:pt idx="12">
                  <c:v>159</c:v>
                </c:pt>
                <c:pt idx="13">
                  <c:v>182</c:v>
                </c:pt>
                <c:pt idx="14">
                  <c:v>172</c:v>
                </c:pt>
                <c:pt idx="15">
                  <c:v>172</c:v>
                </c:pt>
                <c:pt idx="16">
                  <c:v>172</c:v>
                </c:pt>
                <c:pt idx="17">
                  <c:v>155</c:v>
                </c:pt>
                <c:pt idx="18">
                  <c:v>162</c:v>
                </c:pt>
                <c:pt idx="19">
                  <c:v>130</c:v>
                </c:pt>
                <c:pt idx="20">
                  <c:v>170</c:v>
                </c:pt>
                <c:pt idx="21">
                  <c:v>170</c:v>
                </c:pt>
                <c:pt idx="22">
                  <c:v>167</c:v>
                </c:pt>
                <c:pt idx="23">
                  <c:v>186</c:v>
                </c:pt>
                <c:pt idx="24">
                  <c:v>186</c:v>
                </c:pt>
                <c:pt idx="25">
                  <c:v>186</c:v>
                </c:pt>
                <c:pt idx="26">
                  <c:v>166</c:v>
                </c:pt>
                <c:pt idx="27">
                  <c:v>166</c:v>
                </c:pt>
                <c:pt idx="28">
                  <c:v>155</c:v>
                </c:pt>
                <c:pt idx="29">
                  <c:v>170</c:v>
                </c:pt>
                <c:pt idx="30">
                  <c:v>170</c:v>
                </c:pt>
                <c:pt idx="31">
                  <c:v>178</c:v>
                </c:pt>
                <c:pt idx="32">
                  <c:v>178</c:v>
                </c:pt>
                <c:pt idx="33">
                  <c:v>178</c:v>
                </c:pt>
                <c:pt idx="34">
                  <c:v>180</c:v>
                </c:pt>
                <c:pt idx="35">
                  <c:v>180</c:v>
                </c:pt>
                <c:pt idx="36">
                  <c:v>159</c:v>
                </c:pt>
                <c:pt idx="37">
                  <c:v>178</c:v>
                </c:pt>
                <c:pt idx="38">
                  <c:v>178</c:v>
                </c:pt>
                <c:pt idx="39">
                  <c:v>178</c:v>
                </c:pt>
                <c:pt idx="40">
                  <c:v>178</c:v>
                </c:pt>
                <c:pt idx="41">
                  <c:v>179</c:v>
                </c:pt>
                <c:pt idx="42">
                  <c:v>196</c:v>
                </c:pt>
                <c:pt idx="43">
                  <c:v>161</c:v>
                </c:pt>
                <c:pt idx="44">
                  <c:v>161</c:v>
                </c:pt>
                <c:pt idx="45">
                  <c:v>171</c:v>
                </c:pt>
                <c:pt idx="46">
                  <c:v>171</c:v>
                </c:pt>
                <c:pt idx="47">
                  <c:v>191</c:v>
                </c:pt>
                <c:pt idx="48">
                  <c:v>191</c:v>
                </c:pt>
                <c:pt idx="49">
                  <c:v>167</c:v>
                </c:pt>
                <c:pt idx="50">
                  <c:v>120</c:v>
                </c:pt>
                <c:pt idx="51">
                  <c:v>145</c:v>
                </c:pt>
                <c:pt idx="52">
                  <c:v>145</c:v>
                </c:pt>
                <c:pt idx="53">
                  <c:v>172</c:v>
                </c:pt>
                <c:pt idx="54">
                  <c:v>192</c:v>
                </c:pt>
                <c:pt idx="55">
                  <c:v>192</c:v>
                </c:pt>
                <c:pt idx="56">
                  <c:v>162</c:v>
                </c:pt>
                <c:pt idx="57">
                  <c:v>162</c:v>
                </c:pt>
                <c:pt idx="58">
                  <c:v>162</c:v>
                </c:pt>
                <c:pt idx="59">
                  <c:v>162</c:v>
                </c:pt>
                <c:pt idx="60">
                  <c:v>187</c:v>
                </c:pt>
                <c:pt idx="61">
                  <c:v>187</c:v>
                </c:pt>
                <c:pt idx="62">
                  <c:v>187</c:v>
                </c:pt>
                <c:pt idx="63">
                  <c:v>187</c:v>
                </c:pt>
                <c:pt idx="64">
                  <c:v>187</c:v>
                </c:pt>
                <c:pt idx="65">
                  <c:v>187</c:v>
                </c:pt>
                <c:pt idx="66">
                  <c:v>187</c:v>
                </c:pt>
                <c:pt idx="67">
                  <c:v>187</c:v>
                </c:pt>
                <c:pt idx="68">
                  <c:v>187</c:v>
                </c:pt>
                <c:pt idx="69">
                  <c:v>187</c:v>
                </c:pt>
                <c:pt idx="70">
                  <c:v>187</c:v>
                </c:pt>
                <c:pt idx="71">
                  <c:v>187</c:v>
                </c:pt>
                <c:pt idx="72">
                  <c:v>195</c:v>
                </c:pt>
                <c:pt idx="73">
                  <c:v>195</c:v>
                </c:pt>
                <c:pt idx="74">
                  <c:v>195</c:v>
                </c:pt>
                <c:pt idx="75">
                  <c:v>195</c:v>
                </c:pt>
                <c:pt idx="76">
                  <c:v>156</c:v>
                </c:pt>
                <c:pt idx="77">
                  <c:v>156</c:v>
                </c:pt>
                <c:pt idx="78">
                  <c:v>156</c:v>
                </c:pt>
                <c:pt idx="79">
                  <c:v>156</c:v>
                </c:pt>
                <c:pt idx="80">
                  <c:v>156</c:v>
                </c:pt>
                <c:pt idx="81">
                  <c:v>176</c:v>
                </c:pt>
                <c:pt idx="82">
                  <c:v>195</c:v>
                </c:pt>
                <c:pt idx="83">
                  <c:v>195</c:v>
                </c:pt>
                <c:pt idx="84">
                  <c:v>185</c:v>
                </c:pt>
                <c:pt idx="85">
                  <c:v>155</c:v>
                </c:pt>
                <c:pt idx="86">
                  <c:v>155</c:v>
                </c:pt>
                <c:pt idx="87">
                  <c:v>165</c:v>
                </c:pt>
                <c:pt idx="88">
                  <c:v>165</c:v>
                </c:pt>
                <c:pt idx="89">
                  <c:v>175</c:v>
                </c:pt>
                <c:pt idx="90">
                  <c:v>160</c:v>
                </c:pt>
                <c:pt idx="91">
                  <c:v>173</c:v>
                </c:pt>
                <c:pt idx="92">
                  <c:v>187</c:v>
                </c:pt>
                <c:pt idx="93">
                  <c:v>180</c:v>
                </c:pt>
                <c:pt idx="94">
                  <c:v>180</c:v>
                </c:pt>
                <c:pt idx="95">
                  <c:v>180</c:v>
                </c:pt>
                <c:pt idx="96">
                  <c:v>180</c:v>
                </c:pt>
                <c:pt idx="97">
                  <c:v>165</c:v>
                </c:pt>
                <c:pt idx="98">
                  <c:v>165</c:v>
                </c:pt>
                <c:pt idx="99">
                  <c:v>117</c:v>
                </c:pt>
              </c:numCache>
            </c:numRef>
          </c:xVal>
          <c:yVal>
            <c:numRef>
              <c:f>nuage_points!$C$2:$C$101</c:f>
              <c:numCache>
                <c:formatCode>#\ ##0.0</c:formatCode>
                <c:ptCount val="100"/>
                <c:pt idx="0">
                  <c:v>20.202020202020204</c:v>
                </c:pt>
                <c:pt idx="1">
                  <c:v>21.604938271604937</c:v>
                </c:pt>
                <c:pt idx="2">
                  <c:v>28.010223731662059</c:v>
                </c:pt>
                <c:pt idx="3">
                  <c:v>21.733535417083701</c:v>
                </c:pt>
                <c:pt idx="4">
                  <c:v>28.076319285110493</c:v>
                </c:pt>
                <c:pt idx="5">
                  <c:v>30.778701138811947</c:v>
                </c:pt>
                <c:pt idx="6">
                  <c:v>17.959183673469386</c:v>
                </c:pt>
                <c:pt idx="7">
                  <c:v>27.776929886145112</c:v>
                </c:pt>
                <c:pt idx="8">
                  <c:v>21.007667798746546</c:v>
                </c:pt>
                <c:pt idx="9">
                  <c:v>30.470914127423825</c:v>
                </c:pt>
                <c:pt idx="10">
                  <c:v>15.570934256055365</c:v>
                </c:pt>
                <c:pt idx="11">
                  <c:v>27.681660899653981</c:v>
                </c:pt>
                <c:pt idx="12">
                  <c:v>31.644317867172973</c:v>
                </c:pt>
                <c:pt idx="13">
                  <c:v>24.151672503320853</c:v>
                </c:pt>
                <c:pt idx="14">
                  <c:v>37.182260681449435</c:v>
                </c:pt>
                <c:pt idx="15">
                  <c:v>19.605191995673341</c:v>
                </c:pt>
                <c:pt idx="16">
                  <c:v>26.365603028664147</c:v>
                </c:pt>
                <c:pt idx="17">
                  <c:v>32.46618106139438</c:v>
                </c:pt>
                <c:pt idx="18">
                  <c:v>29.721079103795148</c:v>
                </c:pt>
                <c:pt idx="19">
                  <c:v>14.792899408284022</c:v>
                </c:pt>
                <c:pt idx="20">
                  <c:v>32.871972318339104</c:v>
                </c:pt>
                <c:pt idx="21">
                  <c:v>19.031141868512112</c:v>
                </c:pt>
                <c:pt idx="22">
                  <c:v>41.234895478504072</c:v>
                </c:pt>
                <c:pt idx="23">
                  <c:v>33.240837090993175</c:v>
                </c:pt>
                <c:pt idx="24">
                  <c:v>18.78829922534397</c:v>
                </c:pt>
                <c:pt idx="25">
                  <c:v>17.921146953405014</c:v>
                </c:pt>
                <c:pt idx="26">
                  <c:v>25.039918710988534</c:v>
                </c:pt>
                <c:pt idx="27">
                  <c:v>29.031789809841779</c:v>
                </c:pt>
                <c:pt idx="28">
                  <c:v>42.039542143600414</c:v>
                </c:pt>
                <c:pt idx="29">
                  <c:v>15.91695501730104</c:v>
                </c:pt>
                <c:pt idx="30">
                  <c:v>30.795847750865054</c:v>
                </c:pt>
                <c:pt idx="31">
                  <c:v>28.089887640449437</c:v>
                </c:pt>
                <c:pt idx="32">
                  <c:v>17.043302613306402</c:v>
                </c:pt>
                <c:pt idx="33">
                  <c:v>17.043302613306402</c:v>
                </c:pt>
                <c:pt idx="34">
                  <c:v>23.456790123456788</c:v>
                </c:pt>
                <c:pt idx="35">
                  <c:v>31.79012345679012</c:v>
                </c:pt>
                <c:pt idx="36">
                  <c:v>30.062101973814325</c:v>
                </c:pt>
                <c:pt idx="37">
                  <c:v>28.405504355510669</c:v>
                </c:pt>
                <c:pt idx="38">
                  <c:v>30.299204645878046</c:v>
                </c:pt>
                <c:pt idx="39">
                  <c:v>27.458654210326976</c:v>
                </c:pt>
                <c:pt idx="40">
                  <c:v>19.568236333796236</c:v>
                </c:pt>
                <c:pt idx="41">
                  <c:v>21.222808276895229</c:v>
                </c:pt>
                <c:pt idx="42">
                  <c:v>16.92003331945023</c:v>
                </c:pt>
                <c:pt idx="43">
                  <c:v>25.076193048107708</c:v>
                </c:pt>
                <c:pt idx="44">
                  <c:v>29.319856487018246</c:v>
                </c:pt>
                <c:pt idx="45">
                  <c:v>25.990903183885642</c:v>
                </c:pt>
                <c:pt idx="46">
                  <c:v>29.410758865975858</c:v>
                </c:pt>
                <c:pt idx="47">
                  <c:v>21.929223431375238</c:v>
                </c:pt>
                <c:pt idx="48">
                  <c:v>23.848030481620569</c:v>
                </c:pt>
                <c:pt idx="49">
                  <c:v>31.1950948402596</c:v>
                </c:pt>
                <c:pt idx="50">
                  <c:v>13.888888888888889</c:v>
                </c:pt>
                <c:pt idx="51">
                  <c:v>19.976218787158146</c:v>
                </c:pt>
                <c:pt idx="52">
                  <c:v>32.342449464922709</c:v>
                </c:pt>
                <c:pt idx="53">
                  <c:v>35.154137371552196</c:v>
                </c:pt>
                <c:pt idx="54">
                  <c:v>29.839409722222221</c:v>
                </c:pt>
                <c:pt idx="55">
                  <c:v>24.142795138888889</c:v>
                </c:pt>
                <c:pt idx="56">
                  <c:v>35.436671239140367</c:v>
                </c:pt>
                <c:pt idx="57">
                  <c:v>35.436671239140367</c:v>
                </c:pt>
                <c:pt idx="58">
                  <c:v>24.767565919829291</c:v>
                </c:pt>
                <c:pt idx="59">
                  <c:v>24.767565919829291</c:v>
                </c:pt>
                <c:pt idx="60">
                  <c:v>20.303697560696612</c:v>
                </c:pt>
                <c:pt idx="61">
                  <c:v>26.023048986244955</c:v>
                </c:pt>
                <c:pt idx="62">
                  <c:v>26.023048986244955</c:v>
                </c:pt>
                <c:pt idx="63">
                  <c:v>26.023048986244955</c:v>
                </c:pt>
                <c:pt idx="64">
                  <c:v>26.023048986244955</c:v>
                </c:pt>
                <c:pt idx="65">
                  <c:v>26.023048986244955</c:v>
                </c:pt>
                <c:pt idx="66">
                  <c:v>26.023048986244955</c:v>
                </c:pt>
                <c:pt idx="67">
                  <c:v>26.023048986244955</c:v>
                </c:pt>
                <c:pt idx="68">
                  <c:v>26.023048986244955</c:v>
                </c:pt>
                <c:pt idx="69">
                  <c:v>17.444021847922443</c:v>
                </c:pt>
                <c:pt idx="70">
                  <c:v>17.444021847922443</c:v>
                </c:pt>
                <c:pt idx="71">
                  <c:v>17.444021847922443</c:v>
                </c:pt>
                <c:pt idx="72">
                  <c:v>16.042077580539122</c:v>
                </c:pt>
                <c:pt idx="73">
                  <c:v>22.87968441814596</c:v>
                </c:pt>
                <c:pt idx="74">
                  <c:v>22.87968441814596</c:v>
                </c:pt>
                <c:pt idx="75">
                  <c:v>22.87968441814596</c:v>
                </c:pt>
                <c:pt idx="76">
                  <c:v>35.749506903353051</c:v>
                </c:pt>
                <c:pt idx="77">
                  <c:v>32.873109796186718</c:v>
                </c:pt>
                <c:pt idx="78">
                  <c:v>32.873109796186718</c:v>
                </c:pt>
                <c:pt idx="79">
                  <c:v>32.873109796186718</c:v>
                </c:pt>
                <c:pt idx="80">
                  <c:v>23.011176857330703</c:v>
                </c:pt>
                <c:pt idx="81">
                  <c:v>12.913223140495868</c:v>
                </c:pt>
                <c:pt idx="82">
                  <c:v>13.412228796844182</c:v>
                </c:pt>
                <c:pt idx="83">
                  <c:v>13.412228796844182</c:v>
                </c:pt>
                <c:pt idx="84">
                  <c:v>20.74506939371804</c:v>
                </c:pt>
                <c:pt idx="85">
                  <c:v>29.552549427679498</c:v>
                </c:pt>
                <c:pt idx="86">
                  <c:v>29.552549427679498</c:v>
                </c:pt>
                <c:pt idx="87">
                  <c:v>26.078971533516992</c:v>
                </c:pt>
                <c:pt idx="88">
                  <c:v>29.752066115702483</c:v>
                </c:pt>
                <c:pt idx="89">
                  <c:v>29.714285714285715</c:v>
                </c:pt>
                <c:pt idx="90">
                  <c:v>35.546874999999993</c:v>
                </c:pt>
                <c:pt idx="91">
                  <c:v>24.056934745564501</c:v>
                </c:pt>
                <c:pt idx="92">
                  <c:v>16.872086705367607</c:v>
                </c:pt>
                <c:pt idx="93">
                  <c:v>28.086419753086417</c:v>
                </c:pt>
                <c:pt idx="94">
                  <c:v>16.666666666666664</c:v>
                </c:pt>
                <c:pt idx="95">
                  <c:v>25.925925925925924</c:v>
                </c:pt>
                <c:pt idx="96">
                  <c:v>25.925925925925924</c:v>
                </c:pt>
                <c:pt idx="97">
                  <c:v>35.261707988980717</c:v>
                </c:pt>
                <c:pt idx="98">
                  <c:v>22.4058769513315</c:v>
                </c:pt>
                <c:pt idx="99">
                  <c:v>84.739571919059117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354064"/>
        <c:axId val="1753344816"/>
      </c:scatterChart>
      <c:valAx>
        <c:axId val="1753354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53344816"/>
        <c:crosses val="autoZero"/>
        <c:crossBetween val="midCat"/>
      </c:valAx>
      <c:valAx>
        <c:axId val="175334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53354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diagramme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secteur!$A$1:$A$7</c:f>
              <c:strCache>
                <c:ptCount val="7"/>
                <c:pt idx="0">
                  <c:v>poids normal </c:v>
                </c:pt>
                <c:pt idx="1">
                  <c:v>obesite moderee</c:v>
                </c:pt>
                <c:pt idx="2">
                  <c:v>obesite severe</c:v>
                </c:pt>
                <c:pt idx="3">
                  <c:v>surpoids</c:v>
                </c:pt>
                <c:pt idx="4">
                  <c:v>maigreur</c:v>
                </c:pt>
                <c:pt idx="5">
                  <c:v>Obésité morbide ou massive</c:v>
                </c:pt>
                <c:pt idx="6">
                  <c:v>Dénutrition ou anorexie</c:v>
                </c:pt>
              </c:strCache>
            </c:strRef>
          </c:cat>
          <c:val>
            <c:numRef>
              <c:f>secteur!$B$1:$B$7</c:f>
              <c:numCache>
                <c:formatCode>General</c:formatCode>
                <c:ptCount val="7"/>
                <c:pt idx="0">
                  <c:v>25</c:v>
                </c:pt>
                <c:pt idx="1">
                  <c:v>15</c:v>
                </c:pt>
                <c:pt idx="2">
                  <c:v>7</c:v>
                </c:pt>
                <c:pt idx="3">
                  <c:v>32</c:v>
                </c:pt>
                <c:pt idx="4">
                  <c:v>10</c:v>
                </c:pt>
                <c:pt idx="5">
                  <c:v>3</c:v>
                </c:pt>
                <c:pt idx="6">
                  <c:v>8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33421</xdr:colOff>
      <xdr:row>5</xdr:row>
      <xdr:rowOff>0</xdr:rowOff>
    </xdr:from>
    <xdr:to>
      <xdr:col>28</xdr:col>
      <xdr:colOff>768683</xdr:colOff>
      <xdr:row>7</xdr:row>
      <xdr:rowOff>16710</xdr:rowOff>
    </xdr:to>
    <xdr:sp macro="[0]!Rectangleàcoinsarrondis1_Cliquer" textlink="">
      <xdr:nvSpPr>
        <xdr:cNvPr id="2" name="Rectangle à coins arrondis 1"/>
        <xdr:cNvSpPr/>
      </xdr:nvSpPr>
      <xdr:spPr>
        <a:xfrm>
          <a:off x="32685789" y="1587500"/>
          <a:ext cx="3041315" cy="65171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600">
              <a:solidFill>
                <a:schemeClr val="tx1">
                  <a:lumMod val="95000"/>
                  <a:lumOff val="5000"/>
                </a:schemeClr>
              </a:solidFill>
            </a:rPr>
            <a:t>show list</a:t>
          </a:r>
        </a:p>
      </xdr:txBody>
    </xdr:sp>
    <xdr:clientData/>
  </xdr:twoCellAnchor>
  <xdr:twoCellAnchor>
    <xdr:from>
      <xdr:col>25</xdr:col>
      <xdr:colOff>16712</xdr:colOff>
      <xdr:row>2</xdr:row>
      <xdr:rowOff>0</xdr:rowOff>
    </xdr:from>
    <xdr:to>
      <xdr:col>28</xdr:col>
      <xdr:colOff>735264</xdr:colOff>
      <xdr:row>4</xdr:row>
      <xdr:rowOff>1</xdr:rowOff>
    </xdr:to>
    <xdr:sp macro="[0]!Rectangleàcoinsarrondis2_Cliquer" textlink="">
      <xdr:nvSpPr>
        <xdr:cNvPr id="3" name="Rectangle à coins arrondis 2"/>
        <xdr:cNvSpPr/>
      </xdr:nvSpPr>
      <xdr:spPr>
        <a:xfrm>
          <a:off x="32669080" y="635000"/>
          <a:ext cx="3024605" cy="635001"/>
        </a:xfrm>
        <a:prstGeom prst="round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600">
              <a:solidFill>
                <a:schemeClr val="tx1">
                  <a:lumMod val="95000"/>
                  <a:lumOff val="5000"/>
                </a:schemeClr>
              </a:solidFill>
            </a:rPr>
            <a:t>formulaire de saisie</a:t>
          </a:r>
        </a:p>
      </xdr:txBody>
    </xdr:sp>
    <xdr:clientData/>
  </xdr:twoCellAnchor>
  <xdr:twoCellAnchor>
    <xdr:from>
      <xdr:col>25</xdr:col>
      <xdr:colOff>1</xdr:colOff>
      <xdr:row>8</xdr:row>
      <xdr:rowOff>83554</xdr:rowOff>
    </xdr:from>
    <xdr:to>
      <xdr:col>28</xdr:col>
      <xdr:colOff>751974</xdr:colOff>
      <xdr:row>10</xdr:row>
      <xdr:rowOff>50132</xdr:rowOff>
    </xdr:to>
    <xdr:sp macro="[0]!Rectangleàcoinsarrondis5_Cliquer" textlink="">
      <xdr:nvSpPr>
        <xdr:cNvPr id="6" name="Rectangle à coins arrondis 5"/>
        <xdr:cNvSpPr/>
      </xdr:nvSpPr>
      <xdr:spPr>
        <a:xfrm>
          <a:off x="33153685" y="2623554"/>
          <a:ext cx="3058026" cy="601578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800">
              <a:solidFill>
                <a:schemeClr val="tx1"/>
              </a:solidFill>
            </a:rPr>
            <a:t>visualisation des graphiques</a:t>
          </a:r>
        </a:p>
      </xdr:txBody>
    </xdr:sp>
    <xdr:clientData/>
  </xdr:twoCellAnchor>
  <xdr:twoCellAnchor>
    <xdr:from>
      <xdr:col>24</xdr:col>
      <xdr:colOff>1219868</xdr:colOff>
      <xdr:row>11</xdr:row>
      <xdr:rowOff>50131</xdr:rowOff>
    </xdr:from>
    <xdr:to>
      <xdr:col>28</xdr:col>
      <xdr:colOff>651710</xdr:colOff>
      <xdr:row>12</xdr:row>
      <xdr:rowOff>300789</xdr:rowOff>
    </xdr:to>
    <xdr:sp macro="[0]!Rectangleàcoinsarrondis6_Cliquer" textlink="">
      <xdr:nvSpPr>
        <xdr:cNvPr id="7" name="Rectangle à coins arrondis 6"/>
        <xdr:cNvSpPr/>
      </xdr:nvSpPr>
      <xdr:spPr>
        <a:xfrm>
          <a:off x="33103552" y="3542631"/>
          <a:ext cx="3007895" cy="568158"/>
        </a:xfrm>
        <a:prstGeom prst="roundRect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2000" b="1"/>
            <a:t>Quitter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752474</xdr:colOff>
      <xdr:row>2</xdr:row>
      <xdr:rowOff>209550</xdr:rowOff>
    </xdr:from>
    <xdr:to>
      <xdr:col>13</xdr:col>
      <xdr:colOff>466725</xdr:colOff>
      <xdr:row>21</xdr:row>
      <xdr:rowOff>152400</xdr:rowOff>
    </xdr:to>
    <xdr:graphicFrame macro="">
      <xdr:nvGraphicFramePr>
        <xdr:cNvPr id="5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1</xdr:row>
      <xdr:rowOff>209550</xdr:rowOff>
    </xdr:from>
    <xdr:to>
      <xdr:col>12</xdr:col>
      <xdr:colOff>381000</xdr:colOff>
      <xdr:row>13</xdr:row>
      <xdr:rowOff>42862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495300</xdr:colOff>
      <xdr:row>2</xdr:row>
      <xdr:rowOff>57150</xdr:rowOff>
    </xdr:from>
    <xdr:to>
      <xdr:col>7</xdr:col>
      <xdr:colOff>342900</xdr:colOff>
      <xdr:row>19</xdr:row>
      <xdr:rowOff>171450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RN151"/>
  <sheetViews>
    <sheetView tabSelected="1" topLeftCell="P1" zoomScale="57" zoomScaleNormal="57" workbookViewId="0">
      <selection activeCell="T9" sqref="T9"/>
    </sheetView>
    <sheetView tabSelected="1" topLeftCell="T1" workbookViewId="1">
      <selection activeCell="B103" sqref="B103"/>
    </sheetView>
  </sheetViews>
  <sheetFormatPr baseColWidth="10" defaultRowHeight="15.75" x14ac:dyDescent="0.25"/>
  <cols>
    <col min="1" max="1" width="9.85546875" style="14" customWidth="1"/>
    <col min="2" max="2" width="23.42578125" style="14" customWidth="1"/>
    <col min="3" max="3" width="18" style="14" customWidth="1"/>
    <col min="4" max="4" width="22.85546875" style="21" customWidth="1"/>
    <col min="5" max="5" width="18.28515625" style="14" bestFit="1" customWidth="1"/>
    <col min="6" max="6" width="11.7109375" style="14" bestFit="1" customWidth="1"/>
    <col min="7" max="7" width="19.140625" style="14" customWidth="1"/>
    <col min="8" max="8" width="16.7109375" style="14" customWidth="1"/>
    <col min="9" max="11" width="11.7109375" style="14" bestFit="1" customWidth="1"/>
    <col min="12" max="12" width="22" style="14" customWidth="1"/>
    <col min="13" max="13" width="36.5703125" style="14" customWidth="1"/>
    <col min="14" max="14" width="21.140625" style="17" customWidth="1"/>
    <col min="15" max="15" width="21.140625" style="18" customWidth="1"/>
    <col min="16" max="16" width="14.42578125" style="19" customWidth="1"/>
    <col min="17" max="17" width="17.42578125" style="14" customWidth="1"/>
    <col min="18" max="18" width="33.140625" style="14" customWidth="1"/>
    <col min="19" max="19" width="36.85546875" style="14" customWidth="1"/>
    <col min="20" max="20" width="19.42578125" style="14" customWidth="1"/>
    <col min="21" max="21" width="11.7109375" style="20" bestFit="1" customWidth="1"/>
    <col min="22" max="22" width="15" style="18" customWidth="1"/>
    <col min="23" max="23" width="33.42578125" style="14" customWidth="1"/>
    <col min="24" max="24" width="11.42578125" style="14"/>
    <col min="25" max="25" width="19.140625" style="14" customWidth="1"/>
    <col min="26" max="32" width="11.42578125" style="14"/>
    <col min="33" max="33" width="63.85546875" style="14" customWidth="1"/>
    <col min="34" max="16384" width="11.42578125" style="14"/>
  </cols>
  <sheetData>
    <row r="1" spans="1:482" ht="21" x14ac:dyDescent="0.35">
      <c r="A1" s="5" t="s">
        <v>0</v>
      </c>
      <c r="B1" s="5" t="s">
        <v>1</v>
      </c>
      <c r="C1" s="5" t="s">
        <v>2</v>
      </c>
      <c r="D1" s="22" t="s">
        <v>5</v>
      </c>
      <c r="E1" s="5" t="s">
        <v>3</v>
      </c>
      <c r="F1" s="5" t="s">
        <v>4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18</v>
      </c>
      <c r="M1" s="5" t="s">
        <v>19</v>
      </c>
      <c r="N1" s="23" t="s">
        <v>20</v>
      </c>
      <c r="O1" s="24" t="s">
        <v>21</v>
      </c>
      <c r="P1" s="25" t="s">
        <v>22</v>
      </c>
      <c r="Q1" s="5" t="s">
        <v>23</v>
      </c>
      <c r="R1" s="5" t="s">
        <v>24</v>
      </c>
      <c r="S1" s="5" t="s">
        <v>25</v>
      </c>
      <c r="T1" s="26" t="s">
        <v>26</v>
      </c>
      <c r="U1" s="8" t="s">
        <v>46</v>
      </c>
      <c r="V1" s="27" t="s">
        <v>47</v>
      </c>
      <c r="W1" s="28" t="s">
        <v>249</v>
      </c>
      <c r="X1" s="15"/>
    </row>
    <row r="2" spans="1:482" ht="21" x14ac:dyDescent="0.35">
      <c r="A2" s="5">
        <v>1</v>
      </c>
      <c r="B2" s="5" t="s">
        <v>11</v>
      </c>
      <c r="C2" s="5" t="s">
        <v>12</v>
      </c>
      <c r="D2" s="22" t="s">
        <v>48</v>
      </c>
      <c r="E2" s="5">
        <v>165</v>
      </c>
      <c r="F2" s="5">
        <v>55</v>
      </c>
      <c r="G2" s="5" t="s">
        <v>16</v>
      </c>
      <c r="H2" s="5" t="s">
        <v>16</v>
      </c>
      <c r="I2" s="5">
        <v>12</v>
      </c>
      <c r="J2" s="5" t="b">
        <v>1</v>
      </c>
      <c r="K2" s="5" t="b">
        <v>1</v>
      </c>
      <c r="L2" s="5" t="s">
        <v>49</v>
      </c>
      <c r="M2" s="5" t="s">
        <v>50</v>
      </c>
      <c r="N2" s="23">
        <v>40229</v>
      </c>
      <c r="O2" s="24" t="s">
        <v>51</v>
      </c>
      <c r="P2" s="25" t="s">
        <v>27</v>
      </c>
      <c r="Q2" s="5" t="s">
        <v>31</v>
      </c>
      <c r="R2" s="5" t="s">
        <v>52</v>
      </c>
      <c r="S2" s="5" t="s">
        <v>36</v>
      </c>
      <c r="T2" s="5" t="s">
        <v>42</v>
      </c>
      <c r="U2" s="9">
        <v>20.202020202020204</v>
      </c>
      <c r="V2" s="24" t="str">
        <f t="shared" ref="V2:V33" ca="1" si="0">DATEDIF(D2,TODAY(),"y") &amp; " ans"</f>
        <v>16 ans</v>
      </c>
      <c r="W2" s="29" t="str">
        <f t="shared" ref="W2:W33" si="1">IF(U2&lt;=16.5,"Dénutrition ou anorexie",
IF(AND(U2&gt;16.5,U2&lt;=18.5),"Maigreur",
IF(AND(U2&gt;18.5,U2&lt;=25),"Poids normal",
IF(AND(U2&gt;25,U2&lt;=30),"Surpoids",
IF(AND(U2&gt;30,U2&lt;=35),"Obesite moderee",
IF(AND(U2&gt;35,U2&lt;=40),"Obesite severe","Obésité morbide ou massive"))))))</f>
        <v>Poids normal</v>
      </c>
    </row>
    <row r="3" spans="1:482" ht="21" x14ac:dyDescent="0.35">
      <c r="A3" s="5">
        <v>2</v>
      </c>
      <c r="B3" s="5" t="s">
        <v>11</v>
      </c>
      <c r="C3" s="5" t="s">
        <v>13</v>
      </c>
      <c r="D3" s="22" t="s">
        <v>53</v>
      </c>
      <c r="E3" s="5">
        <v>180</v>
      </c>
      <c r="F3" s="5">
        <v>70</v>
      </c>
      <c r="G3" s="5" t="s">
        <v>54</v>
      </c>
      <c r="H3" s="5" t="s">
        <v>16</v>
      </c>
      <c r="I3" s="5">
        <v>12</v>
      </c>
      <c r="J3" s="5" t="b">
        <v>1</v>
      </c>
      <c r="K3" s="5" t="b">
        <v>1</v>
      </c>
      <c r="L3" s="5" t="s">
        <v>55</v>
      </c>
      <c r="M3" s="5" t="s">
        <v>56</v>
      </c>
      <c r="N3" s="23" t="s">
        <v>57</v>
      </c>
      <c r="O3" s="23" t="s">
        <v>58</v>
      </c>
      <c r="P3" s="25" t="s">
        <v>27</v>
      </c>
      <c r="Q3" s="5" t="s">
        <v>31</v>
      </c>
      <c r="R3" s="5" t="s">
        <v>32</v>
      </c>
      <c r="S3" s="5" t="s">
        <v>36</v>
      </c>
      <c r="T3" s="5" t="s">
        <v>42</v>
      </c>
      <c r="U3" s="9">
        <v>21.604938271604937</v>
      </c>
      <c r="V3" s="24" t="str">
        <f t="shared" ca="1" si="0"/>
        <v>20 ans</v>
      </c>
      <c r="W3" s="29" t="str">
        <f t="shared" si="1"/>
        <v>Poids normal</v>
      </c>
    </row>
    <row r="4" spans="1:482" ht="21" x14ac:dyDescent="0.35">
      <c r="A4" s="5">
        <v>3</v>
      </c>
      <c r="B4" s="5" t="s">
        <v>11</v>
      </c>
      <c r="C4" s="5" t="s">
        <v>13</v>
      </c>
      <c r="D4" s="22">
        <v>32874</v>
      </c>
      <c r="E4" s="5">
        <v>169</v>
      </c>
      <c r="F4" s="5">
        <v>80</v>
      </c>
      <c r="G4" s="5" t="s">
        <v>54</v>
      </c>
      <c r="H4" s="5" t="s">
        <v>14</v>
      </c>
      <c r="I4" s="5">
        <v>15</v>
      </c>
      <c r="J4" s="5" t="b">
        <v>1</v>
      </c>
      <c r="K4" s="5" t="b">
        <v>1</v>
      </c>
      <c r="L4" s="5" t="s">
        <v>59</v>
      </c>
      <c r="M4" s="5" t="s">
        <v>60</v>
      </c>
      <c r="N4" s="23">
        <v>36557</v>
      </c>
      <c r="O4" s="23">
        <v>36861</v>
      </c>
      <c r="P4" s="25" t="s">
        <v>28</v>
      </c>
      <c r="Q4" s="5" t="s">
        <v>31</v>
      </c>
      <c r="R4" s="5" t="s">
        <v>35</v>
      </c>
      <c r="S4" s="5" t="s">
        <v>36</v>
      </c>
      <c r="T4" s="5" t="s">
        <v>42</v>
      </c>
      <c r="U4" s="9">
        <v>28.010223731662059</v>
      </c>
      <c r="V4" s="24" t="str">
        <f t="shared" ca="1" si="0"/>
        <v>30 ans</v>
      </c>
      <c r="W4" s="29" t="str">
        <f t="shared" si="1"/>
        <v>Surpoids</v>
      </c>
    </row>
    <row r="5" spans="1:482" ht="21" x14ac:dyDescent="0.35">
      <c r="A5" s="5">
        <v>4</v>
      </c>
      <c r="B5" s="5" t="s">
        <v>17</v>
      </c>
      <c r="C5" s="5" t="s">
        <v>12</v>
      </c>
      <c r="D5" s="22">
        <v>33239</v>
      </c>
      <c r="E5" s="5">
        <v>187</v>
      </c>
      <c r="F5" s="5">
        <v>76</v>
      </c>
      <c r="G5" s="5" t="s">
        <v>14</v>
      </c>
      <c r="H5" s="5" t="s">
        <v>16</v>
      </c>
      <c r="I5" s="5">
        <v>20</v>
      </c>
      <c r="J5" s="5" t="b">
        <v>1</v>
      </c>
      <c r="K5" s="5" t="b">
        <v>1</v>
      </c>
      <c r="L5" s="5" t="s">
        <v>61</v>
      </c>
      <c r="M5" s="5" t="s">
        <v>62</v>
      </c>
      <c r="N5" s="23" t="s">
        <v>63</v>
      </c>
      <c r="O5" s="24" t="s">
        <v>64</v>
      </c>
      <c r="P5" s="25" t="s">
        <v>29</v>
      </c>
      <c r="Q5" s="5" t="s">
        <v>30</v>
      </c>
      <c r="R5" s="5" t="s">
        <v>34</v>
      </c>
      <c r="S5" s="5" t="s">
        <v>36</v>
      </c>
      <c r="T5" s="5" t="s">
        <v>45</v>
      </c>
      <c r="U5" s="9">
        <v>21.733535417083701</v>
      </c>
      <c r="V5" s="24" t="str">
        <f t="shared" ca="1" si="0"/>
        <v>29 ans</v>
      </c>
      <c r="W5" s="29" t="str">
        <f t="shared" si="1"/>
        <v>Poids normal</v>
      </c>
    </row>
    <row r="6" spans="1:482" ht="21" x14ac:dyDescent="0.35">
      <c r="A6" s="5">
        <v>5</v>
      </c>
      <c r="B6" s="5" t="s">
        <v>17</v>
      </c>
      <c r="C6" s="5" t="s">
        <v>13</v>
      </c>
      <c r="D6" s="22" t="s">
        <v>65</v>
      </c>
      <c r="E6" s="5">
        <v>182</v>
      </c>
      <c r="F6" s="5">
        <v>93</v>
      </c>
      <c r="G6" s="5" t="s">
        <v>54</v>
      </c>
      <c r="H6" s="5" t="s">
        <v>16</v>
      </c>
      <c r="I6" s="5">
        <v>0</v>
      </c>
      <c r="J6" s="5" t="b">
        <v>1</v>
      </c>
      <c r="K6" s="5" t="b">
        <v>1</v>
      </c>
      <c r="L6" s="5" t="s">
        <v>66</v>
      </c>
      <c r="M6" s="5" t="s">
        <v>67</v>
      </c>
      <c r="N6" s="23">
        <v>43718</v>
      </c>
      <c r="O6" s="23" t="s">
        <v>68</v>
      </c>
      <c r="P6" s="25" t="s">
        <v>27</v>
      </c>
      <c r="Q6" s="5" t="s">
        <v>31</v>
      </c>
      <c r="R6" s="5" t="s">
        <v>32</v>
      </c>
      <c r="S6" s="5" t="s">
        <v>40</v>
      </c>
      <c r="T6" s="5" t="s">
        <v>43</v>
      </c>
      <c r="U6" s="9">
        <v>28.076319285110493</v>
      </c>
      <c r="V6" s="24" t="str">
        <f t="shared" ca="1" si="0"/>
        <v>29 ans</v>
      </c>
      <c r="W6" s="29" t="str">
        <f t="shared" si="1"/>
        <v>Surpoids</v>
      </c>
    </row>
    <row r="7" spans="1:482" ht="21" x14ac:dyDescent="0.35">
      <c r="A7" s="5">
        <v>6</v>
      </c>
      <c r="B7" s="5" t="s">
        <v>11</v>
      </c>
      <c r="C7" s="5" t="s">
        <v>12</v>
      </c>
      <c r="D7" s="22">
        <v>32782</v>
      </c>
      <c r="E7" s="5">
        <v>171</v>
      </c>
      <c r="F7" s="5">
        <v>90</v>
      </c>
      <c r="G7" s="5" t="s">
        <v>14</v>
      </c>
      <c r="H7" s="5" t="s">
        <v>16</v>
      </c>
      <c r="I7" s="5">
        <v>20</v>
      </c>
      <c r="J7" s="5" t="b">
        <v>1</v>
      </c>
      <c r="K7" s="5" t="b">
        <v>1</v>
      </c>
      <c r="L7" s="5" t="s">
        <v>69</v>
      </c>
      <c r="M7" s="5" t="s">
        <v>70</v>
      </c>
      <c r="N7" s="23" t="s">
        <v>71</v>
      </c>
      <c r="O7" s="23">
        <v>43831</v>
      </c>
      <c r="P7" s="25" t="s">
        <v>29</v>
      </c>
      <c r="Q7" s="5" t="s">
        <v>31</v>
      </c>
      <c r="R7" s="5" t="s">
        <v>33</v>
      </c>
      <c r="S7" s="5" t="s">
        <v>38</v>
      </c>
      <c r="T7" s="5" t="s">
        <v>42</v>
      </c>
      <c r="U7" s="9">
        <v>30.778701138811947</v>
      </c>
      <c r="V7" s="24" t="str">
        <f t="shared" ca="1" si="0"/>
        <v>30 ans</v>
      </c>
      <c r="W7" s="29" t="str">
        <f t="shared" si="1"/>
        <v>Obesite moderee</v>
      </c>
    </row>
    <row r="8" spans="1:482" ht="21" x14ac:dyDescent="0.35">
      <c r="A8" s="5">
        <v>7</v>
      </c>
      <c r="B8" s="5" t="s">
        <v>17</v>
      </c>
      <c r="C8" s="5" t="s">
        <v>13</v>
      </c>
      <c r="D8" s="22" t="s">
        <v>53</v>
      </c>
      <c r="E8" s="5">
        <v>175</v>
      </c>
      <c r="F8" s="5">
        <v>55</v>
      </c>
      <c r="G8" s="5" t="s">
        <v>54</v>
      </c>
      <c r="H8" s="5" t="s">
        <v>16</v>
      </c>
      <c r="I8" s="5">
        <v>23</v>
      </c>
      <c r="J8" s="5" t="b">
        <v>1</v>
      </c>
      <c r="K8" s="5" t="b">
        <v>1</v>
      </c>
      <c r="L8" s="5" t="s">
        <v>72</v>
      </c>
      <c r="M8" s="5" t="s">
        <v>73</v>
      </c>
      <c r="N8" s="23">
        <v>43504</v>
      </c>
      <c r="O8" s="23" t="s">
        <v>74</v>
      </c>
      <c r="P8" s="25" t="s">
        <v>28</v>
      </c>
      <c r="Q8" s="5" t="s">
        <v>31</v>
      </c>
      <c r="R8" s="5" t="s">
        <v>35</v>
      </c>
      <c r="S8" s="5" t="s">
        <v>40</v>
      </c>
      <c r="T8" s="5" t="s">
        <v>43</v>
      </c>
      <c r="U8" s="9">
        <v>17.959183673469386</v>
      </c>
      <c r="V8" s="24" t="str">
        <f t="shared" ca="1" si="0"/>
        <v>20 ans</v>
      </c>
      <c r="W8" s="29" t="str">
        <f t="shared" si="1"/>
        <v>Maigreur</v>
      </c>
    </row>
    <row r="9" spans="1:482" ht="21" x14ac:dyDescent="0.35">
      <c r="A9" s="5">
        <v>8</v>
      </c>
      <c r="B9" s="5" t="s">
        <v>11</v>
      </c>
      <c r="C9" s="5" t="s">
        <v>12</v>
      </c>
      <c r="D9" s="22" t="s">
        <v>75</v>
      </c>
      <c r="E9" s="5">
        <v>181</v>
      </c>
      <c r="F9" s="5">
        <v>91</v>
      </c>
      <c r="G9" s="5" t="s">
        <v>14</v>
      </c>
      <c r="H9" s="5" t="s">
        <v>16</v>
      </c>
      <c r="I9" s="5">
        <v>0</v>
      </c>
      <c r="J9" s="5" t="b">
        <v>1</v>
      </c>
      <c r="K9" s="5" t="b">
        <v>1</v>
      </c>
      <c r="L9" s="5" t="s">
        <v>76</v>
      </c>
      <c r="M9" s="5" t="s">
        <v>77</v>
      </c>
      <c r="N9" s="23" t="s">
        <v>78</v>
      </c>
      <c r="O9" s="23">
        <v>43561</v>
      </c>
      <c r="P9" s="25" t="s">
        <v>28</v>
      </c>
      <c r="Q9" s="5" t="s">
        <v>30</v>
      </c>
      <c r="R9" s="5" t="s">
        <v>33</v>
      </c>
      <c r="S9" s="5" t="s">
        <v>40</v>
      </c>
      <c r="T9" s="5" t="s">
        <v>42</v>
      </c>
      <c r="U9" s="9">
        <v>27.776929886145112</v>
      </c>
      <c r="V9" s="24" t="str">
        <f t="shared" ca="1" si="0"/>
        <v>40 ans</v>
      </c>
      <c r="W9" s="29" t="str">
        <f t="shared" si="1"/>
        <v>Surpoids</v>
      </c>
    </row>
    <row r="10" spans="1:482" ht="21" x14ac:dyDescent="0.35">
      <c r="A10" s="5">
        <v>9</v>
      </c>
      <c r="B10" s="5" t="s">
        <v>11</v>
      </c>
      <c r="C10" s="5" t="s">
        <v>13</v>
      </c>
      <c r="D10" s="22">
        <v>25812</v>
      </c>
      <c r="E10" s="5">
        <v>169</v>
      </c>
      <c r="F10" s="5">
        <v>60</v>
      </c>
      <c r="G10" s="5" t="s">
        <v>54</v>
      </c>
      <c r="H10" s="5" t="s">
        <v>14</v>
      </c>
      <c r="I10" s="5">
        <v>32</v>
      </c>
      <c r="J10" s="5" t="b">
        <v>1</v>
      </c>
      <c r="K10" s="5" t="b">
        <v>1</v>
      </c>
      <c r="L10" s="5" t="s">
        <v>79</v>
      </c>
      <c r="M10" s="5" t="s">
        <v>80</v>
      </c>
      <c r="N10" s="23" t="s">
        <v>81</v>
      </c>
      <c r="O10" s="23">
        <v>43469</v>
      </c>
      <c r="P10" s="25" t="s">
        <v>29</v>
      </c>
      <c r="Q10" s="5" t="s">
        <v>30</v>
      </c>
      <c r="R10" s="5" t="s">
        <v>33</v>
      </c>
      <c r="S10" s="5" t="s">
        <v>38</v>
      </c>
      <c r="T10" s="5" t="s">
        <v>43</v>
      </c>
      <c r="U10" s="9">
        <v>21.007667798746546</v>
      </c>
      <c r="V10" s="24" t="str">
        <f t="shared" ca="1" si="0"/>
        <v>49 ans</v>
      </c>
      <c r="W10" s="29" t="str">
        <f t="shared" si="1"/>
        <v>Poids normal</v>
      </c>
    </row>
    <row r="11" spans="1:482" ht="21" x14ac:dyDescent="0.35">
      <c r="A11" s="5">
        <v>10</v>
      </c>
      <c r="B11" s="5" t="s">
        <v>11</v>
      </c>
      <c r="C11" s="5" t="s">
        <v>13</v>
      </c>
      <c r="D11" s="22">
        <v>33117</v>
      </c>
      <c r="E11" s="5">
        <v>190</v>
      </c>
      <c r="F11" s="5">
        <v>110</v>
      </c>
      <c r="G11" s="5" t="s">
        <v>54</v>
      </c>
      <c r="H11" s="5" t="s">
        <v>14</v>
      </c>
      <c r="I11" s="5">
        <v>35</v>
      </c>
      <c r="J11" s="5" t="b">
        <v>1</v>
      </c>
      <c r="K11" s="5" t="b">
        <v>1</v>
      </c>
      <c r="L11" s="5" t="s">
        <v>49</v>
      </c>
      <c r="M11" s="5" t="s">
        <v>82</v>
      </c>
      <c r="N11" s="23" t="s">
        <v>81</v>
      </c>
      <c r="O11" s="24" t="s">
        <v>63</v>
      </c>
      <c r="P11" s="25" t="s">
        <v>27</v>
      </c>
      <c r="Q11" s="5" t="s">
        <v>31</v>
      </c>
      <c r="R11" s="5" t="s">
        <v>35</v>
      </c>
      <c r="S11" s="5" t="s">
        <v>36</v>
      </c>
      <c r="T11" s="5" t="s">
        <v>45</v>
      </c>
      <c r="U11" s="9">
        <v>30.470914127423825</v>
      </c>
      <c r="V11" s="24" t="str">
        <f t="shared" ca="1" si="0"/>
        <v>29 ans</v>
      </c>
      <c r="W11" s="29" t="str">
        <f t="shared" si="1"/>
        <v>Obesite moderee</v>
      </c>
    </row>
    <row r="12" spans="1:482" ht="21" x14ac:dyDescent="0.35">
      <c r="A12" s="5">
        <v>11</v>
      </c>
      <c r="B12" s="5" t="s">
        <v>11</v>
      </c>
      <c r="C12" s="5" t="s">
        <v>12</v>
      </c>
      <c r="D12" s="22">
        <v>37557</v>
      </c>
      <c r="E12" s="5">
        <v>170</v>
      </c>
      <c r="F12" s="5">
        <v>45</v>
      </c>
      <c r="G12" s="5" t="s">
        <v>16</v>
      </c>
      <c r="H12" s="5" t="s">
        <v>16</v>
      </c>
      <c r="I12" s="5">
        <v>14</v>
      </c>
      <c r="J12" s="5" t="b">
        <v>1</v>
      </c>
      <c r="K12" s="5" t="b">
        <v>1</v>
      </c>
      <c r="L12" s="5" t="s">
        <v>83</v>
      </c>
      <c r="M12" s="5" t="s">
        <v>84</v>
      </c>
      <c r="N12" s="23">
        <v>43811</v>
      </c>
      <c r="O12" s="24" t="s">
        <v>85</v>
      </c>
      <c r="P12" s="25" t="s">
        <v>28</v>
      </c>
      <c r="Q12" s="5" t="s">
        <v>31</v>
      </c>
      <c r="R12" s="5" t="s">
        <v>32</v>
      </c>
      <c r="S12" s="5" t="s">
        <v>36</v>
      </c>
      <c r="T12" s="5" t="s">
        <v>43</v>
      </c>
      <c r="U12" s="9">
        <v>15.570934256055365</v>
      </c>
      <c r="V12" s="24" t="str">
        <f t="shared" ca="1" si="0"/>
        <v>17 ans</v>
      </c>
      <c r="W12" s="29" t="str">
        <f t="shared" si="1"/>
        <v>Dénutrition ou anorexie</v>
      </c>
    </row>
    <row r="13" spans="1:482" ht="21" x14ac:dyDescent="0.35">
      <c r="A13" s="5">
        <v>12</v>
      </c>
      <c r="B13" s="5" t="s">
        <v>11</v>
      </c>
      <c r="C13" s="5" t="s">
        <v>12</v>
      </c>
      <c r="D13" s="22">
        <v>36827</v>
      </c>
      <c r="E13" s="5">
        <v>170</v>
      </c>
      <c r="F13" s="5">
        <v>80</v>
      </c>
      <c r="G13" s="5" t="s">
        <v>16</v>
      </c>
      <c r="H13" s="5" t="s">
        <v>14</v>
      </c>
      <c r="I13" s="5">
        <v>1</v>
      </c>
      <c r="J13" s="5" t="b">
        <v>1</v>
      </c>
      <c r="K13" s="5" t="b">
        <v>1</v>
      </c>
      <c r="L13" s="5" t="s">
        <v>86</v>
      </c>
      <c r="M13" s="5" t="s">
        <v>84</v>
      </c>
      <c r="N13" s="23">
        <v>43800</v>
      </c>
      <c r="O13" s="24" t="s">
        <v>87</v>
      </c>
      <c r="P13" s="25" t="s">
        <v>28</v>
      </c>
      <c r="Q13" s="5" t="s">
        <v>31</v>
      </c>
      <c r="R13" s="5" t="s">
        <v>32</v>
      </c>
      <c r="S13" s="5" t="s">
        <v>36</v>
      </c>
      <c r="T13" s="5" t="s">
        <v>42</v>
      </c>
      <c r="U13" s="9">
        <v>27.681660899653981</v>
      </c>
      <c r="V13" s="24" t="str">
        <f t="shared" ca="1" si="0"/>
        <v>19 ans</v>
      </c>
      <c r="W13" s="29" t="str">
        <f t="shared" si="1"/>
        <v>Surpoids</v>
      </c>
    </row>
    <row r="14" spans="1:482" s="12" customFormat="1" ht="21" x14ac:dyDescent="0.35">
      <c r="A14" s="5">
        <v>13</v>
      </c>
      <c r="B14" s="5" t="s">
        <v>17</v>
      </c>
      <c r="C14" s="5" t="s">
        <v>13</v>
      </c>
      <c r="D14" s="22">
        <v>36901</v>
      </c>
      <c r="E14" s="5">
        <v>159</v>
      </c>
      <c r="F14" s="5">
        <v>80</v>
      </c>
      <c r="G14" s="5" t="s">
        <v>54</v>
      </c>
      <c r="H14" s="5" t="s">
        <v>14</v>
      </c>
      <c r="I14" s="5">
        <v>19</v>
      </c>
      <c r="J14" s="5" t="b">
        <v>0</v>
      </c>
      <c r="K14" s="5" t="b">
        <v>1</v>
      </c>
      <c r="L14" s="5" t="s">
        <v>247</v>
      </c>
      <c r="M14" s="5" t="s">
        <v>248</v>
      </c>
      <c r="N14" s="23">
        <v>43559</v>
      </c>
      <c r="O14" s="24" t="s">
        <v>90</v>
      </c>
      <c r="P14" s="25" t="s">
        <v>28</v>
      </c>
      <c r="Q14" s="5" t="s">
        <v>30</v>
      </c>
      <c r="R14" s="5" t="s">
        <v>34</v>
      </c>
      <c r="S14" s="5" t="s">
        <v>40</v>
      </c>
      <c r="T14" s="5" t="s">
        <v>42</v>
      </c>
      <c r="U14" s="9">
        <v>31.644317867172973</v>
      </c>
      <c r="V14" s="24" t="str">
        <f t="shared" ca="1" si="0"/>
        <v>19 ans</v>
      </c>
      <c r="W14" s="29" t="str">
        <f t="shared" si="1"/>
        <v>Obesite moderee</v>
      </c>
      <c r="X14" s="13"/>
      <c r="Y14" s="13"/>
      <c r="Z14" s="13"/>
      <c r="AA14" s="13"/>
      <c r="AB14" s="13"/>
      <c r="AC14" s="13"/>
      <c r="AD14" s="13"/>
      <c r="AE14" s="13"/>
      <c r="AF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13"/>
      <c r="FQ14" s="13"/>
      <c r="FR14" s="13"/>
      <c r="FS14" s="13"/>
      <c r="FT14" s="13"/>
      <c r="FU14" s="13"/>
      <c r="FV14" s="13"/>
      <c r="FW14" s="13"/>
      <c r="FX14" s="13"/>
      <c r="FY14" s="13"/>
      <c r="FZ14" s="13"/>
      <c r="GA14" s="13"/>
      <c r="GB14" s="13"/>
      <c r="GC14" s="13"/>
      <c r="GD14" s="13"/>
      <c r="GE14" s="13"/>
      <c r="GF14" s="13"/>
      <c r="GG14" s="13"/>
      <c r="GH14" s="13"/>
      <c r="GI14" s="13"/>
      <c r="GJ14" s="13"/>
      <c r="GK14" s="13"/>
      <c r="GL14" s="13"/>
      <c r="GM14" s="13"/>
      <c r="GN14" s="13"/>
      <c r="GO14" s="13"/>
      <c r="GP14" s="13"/>
      <c r="GQ14" s="13"/>
      <c r="GR14" s="13"/>
      <c r="GS14" s="13"/>
      <c r="GT14" s="13"/>
      <c r="GU14" s="13"/>
      <c r="GV14" s="13"/>
      <c r="GW14" s="13"/>
      <c r="GX14" s="13"/>
      <c r="GY14" s="13"/>
      <c r="GZ14" s="13"/>
      <c r="HA14" s="13"/>
      <c r="HB14" s="13"/>
      <c r="HC14" s="13"/>
      <c r="HD14" s="13"/>
      <c r="HE14" s="13"/>
      <c r="HF14" s="13"/>
      <c r="HG14" s="13"/>
      <c r="HH14" s="13"/>
      <c r="HI14" s="13"/>
      <c r="HJ14" s="13"/>
      <c r="HK14" s="13"/>
      <c r="HL14" s="13"/>
      <c r="HM14" s="13"/>
      <c r="HN14" s="13"/>
      <c r="HO14" s="13"/>
      <c r="HP14" s="13"/>
      <c r="HQ14" s="13"/>
      <c r="HR14" s="13"/>
      <c r="HS14" s="13"/>
      <c r="HT14" s="13"/>
      <c r="HU14" s="13"/>
      <c r="HV14" s="13"/>
      <c r="HW14" s="13"/>
      <c r="HX14" s="13"/>
      <c r="HY14" s="13"/>
      <c r="HZ14" s="13"/>
      <c r="IA14" s="13"/>
      <c r="IB14" s="13"/>
      <c r="IC14" s="13"/>
      <c r="ID14" s="13"/>
      <c r="IE14" s="13"/>
      <c r="IF14" s="13"/>
      <c r="IG14" s="13"/>
      <c r="IH14" s="13"/>
      <c r="II14" s="13"/>
      <c r="IJ14" s="13"/>
      <c r="IK14" s="13"/>
      <c r="IL14" s="13"/>
      <c r="IM14" s="13"/>
      <c r="IN14" s="13"/>
      <c r="IO14" s="13"/>
      <c r="IP14" s="13"/>
      <c r="IQ14" s="13"/>
      <c r="IR14" s="13"/>
      <c r="IS14" s="13"/>
      <c r="IT14" s="13"/>
      <c r="IU14" s="13"/>
      <c r="IV14" s="13"/>
      <c r="IW14" s="13"/>
      <c r="IX14" s="13"/>
      <c r="IY14" s="13"/>
      <c r="IZ14" s="13"/>
      <c r="JA14" s="13"/>
      <c r="JB14" s="13"/>
      <c r="JC14" s="13"/>
      <c r="JD14" s="13"/>
      <c r="JE14" s="13"/>
      <c r="JF14" s="13"/>
      <c r="JG14" s="13"/>
      <c r="JH14" s="13"/>
      <c r="JI14" s="13"/>
      <c r="JJ14" s="13"/>
      <c r="JK14" s="13"/>
      <c r="JL14" s="13"/>
      <c r="JM14" s="13"/>
      <c r="JN14" s="13"/>
      <c r="JO14" s="13"/>
      <c r="JP14" s="13"/>
      <c r="JQ14" s="13"/>
      <c r="JR14" s="13"/>
      <c r="JS14" s="13"/>
      <c r="JT14" s="13"/>
      <c r="JU14" s="13"/>
      <c r="JV14" s="13"/>
      <c r="JW14" s="13"/>
      <c r="JX14" s="13"/>
      <c r="JY14" s="13"/>
      <c r="JZ14" s="13"/>
      <c r="KA14" s="13"/>
      <c r="KB14" s="13"/>
      <c r="KC14" s="13"/>
      <c r="KD14" s="13"/>
      <c r="KE14" s="13"/>
      <c r="KF14" s="13"/>
      <c r="KG14" s="13"/>
      <c r="KH14" s="13"/>
      <c r="KI14" s="13"/>
      <c r="KJ14" s="13"/>
      <c r="KK14" s="13"/>
      <c r="KL14" s="13"/>
      <c r="KM14" s="13"/>
      <c r="KN14" s="13"/>
      <c r="KO14" s="13"/>
      <c r="KP14" s="13"/>
      <c r="KQ14" s="13"/>
      <c r="KR14" s="13"/>
      <c r="KS14" s="13"/>
      <c r="KT14" s="13"/>
      <c r="KU14" s="13"/>
      <c r="KV14" s="13"/>
      <c r="KW14" s="13"/>
      <c r="KX14" s="13"/>
      <c r="KY14" s="13"/>
      <c r="KZ14" s="13"/>
      <c r="LA14" s="13"/>
      <c r="LB14" s="13"/>
      <c r="LC14" s="13"/>
      <c r="LD14" s="13"/>
      <c r="LE14" s="13"/>
      <c r="LF14" s="13"/>
      <c r="LG14" s="13"/>
      <c r="LH14" s="13"/>
      <c r="LI14" s="13"/>
      <c r="LJ14" s="13"/>
      <c r="LK14" s="13"/>
      <c r="LL14" s="13"/>
      <c r="LM14" s="13"/>
      <c r="LN14" s="13"/>
      <c r="LO14" s="13"/>
      <c r="LP14" s="13"/>
      <c r="LQ14" s="13"/>
      <c r="LR14" s="13"/>
      <c r="LS14" s="13"/>
      <c r="LT14" s="13"/>
      <c r="LU14" s="13"/>
      <c r="LV14" s="13"/>
      <c r="LW14" s="13"/>
      <c r="LX14" s="13"/>
      <c r="LY14" s="13"/>
      <c r="LZ14" s="13"/>
      <c r="MA14" s="13"/>
      <c r="MB14" s="13"/>
      <c r="MC14" s="13"/>
      <c r="MD14" s="13"/>
      <c r="ME14" s="13"/>
      <c r="MF14" s="13"/>
      <c r="MG14" s="13"/>
      <c r="MH14" s="13"/>
      <c r="MI14" s="13"/>
      <c r="MJ14" s="13"/>
      <c r="MK14" s="13"/>
      <c r="ML14" s="13"/>
      <c r="MM14" s="13"/>
      <c r="MN14" s="13"/>
      <c r="MO14" s="13"/>
      <c r="MP14" s="13"/>
      <c r="MQ14" s="13"/>
      <c r="MR14" s="13"/>
      <c r="MS14" s="13"/>
      <c r="MT14" s="13"/>
      <c r="MU14" s="13"/>
      <c r="MV14" s="13"/>
      <c r="MW14" s="13"/>
      <c r="MX14" s="13"/>
      <c r="MY14" s="13"/>
      <c r="MZ14" s="13"/>
      <c r="NA14" s="13"/>
      <c r="NB14" s="13"/>
      <c r="NC14" s="13"/>
      <c r="ND14" s="13"/>
      <c r="NE14" s="13"/>
      <c r="NF14" s="13"/>
      <c r="NG14" s="13"/>
      <c r="NH14" s="13"/>
      <c r="NI14" s="13"/>
      <c r="NJ14" s="13"/>
      <c r="NK14" s="13"/>
      <c r="NL14" s="13"/>
      <c r="NM14" s="13"/>
      <c r="NN14" s="13"/>
      <c r="NO14" s="13"/>
      <c r="NP14" s="13"/>
      <c r="NQ14" s="13"/>
      <c r="NR14" s="13"/>
      <c r="NS14" s="13"/>
      <c r="NT14" s="13"/>
      <c r="NU14" s="13"/>
      <c r="NV14" s="13"/>
      <c r="NW14" s="13"/>
      <c r="NX14" s="13"/>
      <c r="NY14" s="13"/>
      <c r="NZ14" s="13"/>
      <c r="OA14" s="13"/>
      <c r="OB14" s="13"/>
      <c r="OC14" s="13"/>
      <c r="OD14" s="13"/>
      <c r="OE14" s="13"/>
      <c r="OF14" s="13"/>
      <c r="OG14" s="13"/>
      <c r="OH14" s="13"/>
      <c r="OI14" s="13"/>
      <c r="OJ14" s="13"/>
      <c r="OK14" s="13"/>
      <c r="OL14" s="13"/>
      <c r="OM14" s="13"/>
      <c r="ON14" s="13"/>
      <c r="OO14" s="13"/>
      <c r="OP14" s="13"/>
      <c r="OQ14" s="13"/>
      <c r="OR14" s="13"/>
      <c r="OS14" s="13"/>
      <c r="OT14" s="13"/>
      <c r="OU14" s="13"/>
      <c r="OV14" s="13"/>
      <c r="OW14" s="13"/>
      <c r="OX14" s="13"/>
      <c r="OY14" s="13"/>
      <c r="OZ14" s="13"/>
      <c r="PA14" s="13"/>
      <c r="PB14" s="13"/>
      <c r="PC14" s="13"/>
      <c r="PD14" s="13"/>
      <c r="PE14" s="13"/>
      <c r="PF14" s="13"/>
      <c r="PG14" s="13"/>
      <c r="PH14" s="13"/>
      <c r="PI14" s="13"/>
      <c r="PJ14" s="13"/>
      <c r="PK14" s="13"/>
      <c r="PL14" s="13"/>
      <c r="PM14" s="13"/>
      <c r="PN14" s="13"/>
      <c r="PO14" s="13"/>
      <c r="PP14" s="13"/>
      <c r="PQ14" s="13"/>
      <c r="PR14" s="13"/>
      <c r="PS14" s="13"/>
      <c r="PT14" s="13"/>
      <c r="PU14" s="13"/>
      <c r="PV14" s="13"/>
      <c r="PW14" s="13"/>
      <c r="PX14" s="13"/>
      <c r="PY14" s="13"/>
      <c r="PZ14" s="13"/>
      <c r="QA14" s="13"/>
      <c r="QB14" s="13"/>
      <c r="QC14" s="13"/>
      <c r="QD14" s="13"/>
      <c r="QE14" s="13"/>
      <c r="QF14" s="13"/>
      <c r="QG14" s="13"/>
      <c r="QH14" s="13"/>
      <c r="QI14" s="13"/>
      <c r="QJ14" s="13"/>
      <c r="QK14" s="13"/>
      <c r="QL14" s="13"/>
      <c r="QM14" s="13"/>
      <c r="QN14" s="13"/>
      <c r="QO14" s="13"/>
      <c r="QP14" s="13"/>
      <c r="QQ14" s="13"/>
      <c r="QR14" s="13"/>
      <c r="QS14" s="13"/>
      <c r="QT14" s="13"/>
      <c r="QU14" s="13"/>
      <c r="QV14" s="13"/>
      <c r="QW14" s="13"/>
      <c r="QX14" s="13"/>
      <c r="QY14" s="13"/>
      <c r="QZ14" s="13"/>
      <c r="RA14" s="13"/>
      <c r="RB14" s="13"/>
      <c r="RC14" s="13"/>
      <c r="RD14" s="13"/>
      <c r="RE14" s="13"/>
      <c r="RF14" s="13"/>
      <c r="RG14" s="13"/>
      <c r="RH14" s="13"/>
      <c r="RI14" s="13"/>
      <c r="RJ14" s="13"/>
      <c r="RK14" s="13"/>
      <c r="RL14" s="13"/>
      <c r="RM14" s="13"/>
      <c r="RN14" s="13"/>
    </row>
    <row r="15" spans="1:482" ht="21" x14ac:dyDescent="0.35">
      <c r="A15" s="5">
        <v>14</v>
      </c>
      <c r="B15" s="5" t="s">
        <v>17</v>
      </c>
      <c r="C15" s="5" t="s">
        <v>13</v>
      </c>
      <c r="D15" s="22">
        <v>35440</v>
      </c>
      <c r="E15" s="5">
        <v>182</v>
      </c>
      <c r="F15" s="5">
        <v>80</v>
      </c>
      <c r="G15" s="5" t="s">
        <v>54</v>
      </c>
      <c r="H15" s="5" t="s">
        <v>14</v>
      </c>
      <c r="I15" s="5">
        <v>0</v>
      </c>
      <c r="J15" s="5" t="b">
        <v>0</v>
      </c>
      <c r="K15" s="5" t="b">
        <v>1</v>
      </c>
      <c r="L15" s="5" t="s">
        <v>91</v>
      </c>
      <c r="M15" s="5" t="s">
        <v>92</v>
      </c>
      <c r="N15" s="23">
        <v>43559</v>
      </c>
      <c r="O15" s="24" t="s">
        <v>93</v>
      </c>
      <c r="P15" s="25" t="s">
        <v>29</v>
      </c>
      <c r="Q15" s="5" t="s">
        <v>30</v>
      </c>
      <c r="R15" s="5" t="s">
        <v>34</v>
      </c>
      <c r="S15" s="5" t="s">
        <v>40</v>
      </c>
      <c r="T15" s="5" t="s">
        <v>42</v>
      </c>
      <c r="U15" s="9">
        <v>24.151672503320853</v>
      </c>
      <c r="V15" s="24" t="str">
        <f t="shared" ca="1" si="0"/>
        <v>23 ans</v>
      </c>
      <c r="W15" s="29" t="str">
        <f t="shared" si="1"/>
        <v>Poids normal</v>
      </c>
      <c r="Y15" s="13"/>
      <c r="Z15" s="13"/>
    </row>
    <row r="16" spans="1:482" ht="21" x14ac:dyDescent="0.35">
      <c r="A16" s="5">
        <v>15</v>
      </c>
      <c r="B16" s="5" t="s">
        <v>17</v>
      </c>
      <c r="C16" s="5" t="s">
        <v>13</v>
      </c>
      <c r="D16" s="22">
        <v>31787</v>
      </c>
      <c r="E16" s="5">
        <v>172</v>
      </c>
      <c r="F16" s="5">
        <v>110</v>
      </c>
      <c r="G16" s="5" t="s">
        <v>54</v>
      </c>
      <c r="H16" s="5" t="s">
        <v>16</v>
      </c>
      <c r="I16" s="5">
        <v>0</v>
      </c>
      <c r="J16" s="5" t="b">
        <v>0</v>
      </c>
      <c r="K16" s="5" t="b">
        <v>1</v>
      </c>
      <c r="L16" s="5" t="s">
        <v>94</v>
      </c>
      <c r="M16" s="5" t="s">
        <v>95</v>
      </c>
      <c r="N16" s="23">
        <v>43562</v>
      </c>
      <c r="O16" s="23">
        <v>43745</v>
      </c>
      <c r="P16" s="25" t="s">
        <v>29</v>
      </c>
      <c r="Q16" s="5" t="s">
        <v>30</v>
      </c>
      <c r="R16" s="5" t="s">
        <v>34</v>
      </c>
      <c r="S16" s="5" t="s">
        <v>36</v>
      </c>
      <c r="T16" s="5" t="s">
        <v>42</v>
      </c>
      <c r="U16" s="9">
        <v>37.182260681449435</v>
      </c>
      <c r="V16" s="24" t="str">
        <f t="shared" ca="1" si="0"/>
        <v>33 ans</v>
      </c>
      <c r="W16" s="29" t="str">
        <f t="shared" si="1"/>
        <v>Obesite severe</v>
      </c>
      <c r="Y16" s="13"/>
      <c r="Z16" s="13"/>
    </row>
    <row r="17" spans="1:26" ht="21" x14ac:dyDescent="0.35">
      <c r="A17" s="5">
        <v>16</v>
      </c>
      <c r="B17" s="5" t="s">
        <v>11</v>
      </c>
      <c r="C17" s="5" t="s">
        <v>12</v>
      </c>
      <c r="D17" s="22">
        <v>20830</v>
      </c>
      <c r="E17" s="5">
        <v>172</v>
      </c>
      <c r="F17" s="5">
        <v>58</v>
      </c>
      <c r="G17" s="5" t="s">
        <v>16</v>
      </c>
      <c r="H17" s="5" t="s">
        <v>16</v>
      </c>
      <c r="I17" s="5">
        <v>0</v>
      </c>
      <c r="J17" s="5" t="b">
        <v>0</v>
      </c>
      <c r="K17" s="5" t="b">
        <v>1</v>
      </c>
      <c r="L17" s="5" t="s">
        <v>96</v>
      </c>
      <c r="M17" s="5" t="s">
        <v>97</v>
      </c>
      <c r="N17" s="23">
        <v>43556</v>
      </c>
      <c r="O17" s="23">
        <v>43739</v>
      </c>
      <c r="P17" s="25" t="s">
        <v>29</v>
      </c>
      <c r="Q17" s="5" t="s">
        <v>30</v>
      </c>
      <c r="R17" s="5" t="s">
        <v>33</v>
      </c>
      <c r="S17" s="5" t="s">
        <v>38</v>
      </c>
      <c r="T17" s="5" t="s">
        <v>42</v>
      </c>
      <c r="U17" s="9">
        <v>19.605191995673341</v>
      </c>
      <c r="V17" s="24" t="str">
        <f t="shared" ca="1" si="0"/>
        <v>63 ans</v>
      </c>
      <c r="W17" s="29" t="str">
        <f t="shared" si="1"/>
        <v>Poids normal</v>
      </c>
      <c r="Y17" s="13"/>
      <c r="Z17" s="13"/>
    </row>
    <row r="18" spans="1:26" ht="20.25" customHeight="1" x14ac:dyDescent="0.35">
      <c r="A18" s="5">
        <v>17</v>
      </c>
      <c r="B18" s="5" t="s">
        <v>11</v>
      </c>
      <c r="C18" s="5" t="s">
        <v>12</v>
      </c>
      <c r="D18" s="22">
        <v>29230</v>
      </c>
      <c r="E18" s="5">
        <v>172</v>
      </c>
      <c r="F18" s="5">
        <v>78</v>
      </c>
      <c r="G18" s="5" t="s">
        <v>14</v>
      </c>
      <c r="H18" s="5" t="s">
        <v>16</v>
      </c>
      <c r="I18" s="5">
        <v>0</v>
      </c>
      <c r="J18" s="5" t="b">
        <v>0</v>
      </c>
      <c r="K18" s="5" t="b">
        <v>1</v>
      </c>
      <c r="L18" s="5" t="s">
        <v>98</v>
      </c>
      <c r="M18" s="5" t="s">
        <v>99</v>
      </c>
      <c r="N18" s="23">
        <v>43556</v>
      </c>
      <c r="O18" s="23">
        <v>43739</v>
      </c>
      <c r="P18" s="25" t="s">
        <v>27</v>
      </c>
      <c r="Q18" s="5" t="s">
        <v>30</v>
      </c>
      <c r="R18" s="5" t="s">
        <v>34</v>
      </c>
      <c r="S18" s="5" t="s">
        <v>36</v>
      </c>
      <c r="T18" s="5" t="s">
        <v>42</v>
      </c>
      <c r="U18" s="9">
        <v>26.365603028664147</v>
      </c>
      <c r="V18" s="24" t="str">
        <f t="shared" ca="1" si="0"/>
        <v>40 ans</v>
      </c>
      <c r="W18" s="29" t="str">
        <f t="shared" si="1"/>
        <v>Surpoids</v>
      </c>
      <c r="Y18" s="13"/>
      <c r="Z18" s="13"/>
    </row>
    <row r="19" spans="1:26" ht="21" x14ac:dyDescent="0.35">
      <c r="A19" s="5">
        <v>18</v>
      </c>
      <c r="B19" s="5" t="s">
        <v>11</v>
      </c>
      <c r="C19" s="5" t="s">
        <v>12</v>
      </c>
      <c r="D19" s="22">
        <v>32518</v>
      </c>
      <c r="E19" s="5">
        <v>155</v>
      </c>
      <c r="F19" s="5">
        <v>78</v>
      </c>
      <c r="G19" s="5" t="s">
        <v>14</v>
      </c>
      <c r="H19" s="5" t="s">
        <v>14</v>
      </c>
      <c r="I19" s="5">
        <v>0</v>
      </c>
      <c r="J19" s="5" t="b">
        <v>0</v>
      </c>
      <c r="K19" s="5" t="b">
        <v>1</v>
      </c>
      <c r="L19" s="5" t="s">
        <v>100</v>
      </c>
      <c r="M19" s="5" t="s">
        <v>101</v>
      </c>
      <c r="N19" s="23">
        <v>43556</v>
      </c>
      <c r="O19" s="23">
        <v>43556</v>
      </c>
      <c r="P19" s="25" t="s">
        <v>29</v>
      </c>
      <c r="Q19" s="5" t="s">
        <v>30</v>
      </c>
      <c r="R19" s="5" t="s">
        <v>34</v>
      </c>
      <c r="S19" s="5" t="s">
        <v>36</v>
      </c>
      <c r="T19" s="5" t="s">
        <v>42</v>
      </c>
      <c r="U19" s="9">
        <v>32.46618106139438</v>
      </c>
      <c r="V19" s="24" t="str">
        <f t="shared" ca="1" si="0"/>
        <v>31 ans</v>
      </c>
      <c r="W19" s="29" t="str">
        <f t="shared" si="1"/>
        <v>Obesite moderee</v>
      </c>
    </row>
    <row r="20" spans="1:26" ht="21" x14ac:dyDescent="0.35">
      <c r="A20" s="5">
        <v>19</v>
      </c>
      <c r="B20" s="5" t="s">
        <v>11</v>
      </c>
      <c r="C20" s="5" t="s">
        <v>12</v>
      </c>
      <c r="D20" s="22">
        <v>38362</v>
      </c>
      <c r="E20" s="5">
        <v>162</v>
      </c>
      <c r="F20" s="5">
        <v>78</v>
      </c>
      <c r="G20" s="5" t="s">
        <v>16</v>
      </c>
      <c r="H20" s="5" t="s">
        <v>16</v>
      </c>
      <c r="I20" s="5">
        <v>20</v>
      </c>
      <c r="J20" s="5" t="b">
        <v>0</v>
      </c>
      <c r="K20" s="5" t="b">
        <v>1</v>
      </c>
      <c r="L20" s="5" t="s">
        <v>102</v>
      </c>
      <c r="M20" s="5" t="s">
        <v>103</v>
      </c>
      <c r="N20" s="23" t="s">
        <v>104</v>
      </c>
      <c r="O20" s="24" t="s">
        <v>105</v>
      </c>
      <c r="P20" s="25" t="s">
        <v>28</v>
      </c>
      <c r="Q20" s="5" t="s">
        <v>31</v>
      </c>
      <c r="R20" s="5" t="s">
        <v>35</v>
      </c>
      <c r="S20" s="5" t="s">
        <v>36</v>
      </c>
      <c r="T20" s="5" t="s">
        <v>43</v>
      </c>
      <c r="U20" s="9">
        <v>29.721079103795148</v>
      </c>
      <c r="V20" s="24" t="str">
        <f t="shared" ca="1" si="0"/>
        <v>15 ans</v>
      </c>
      <c r="W20" s="29" t="str">
        <f t="shared" si="1"/>
        <v>Surpoids</v>
      </c>
    </row>
    <row r="21" spans="1:26" ht="21" x14ac:dyDescent="0.35">
      <c r="A21" s="5">
        <v>20</v>
      </c>
      <c r="B21" s="5" t="s">
        <v>11</v>
      </c>
      <c r="C21" s="5" t="s">
        <v>12</v>
      </c>
      <c r="D21" s="22">
        <v>38362</v>
      </c>
      <c r="E21" s="5">
        <v>130</v>
      </c>
      <c r="F21" s="5">
        <v>25</v>
      </c>
      <c r="G21" s="5" t="s">
        <v>16</v>
      </c>
      <c r="H21" s="5" t="s">
        <v>16</v>
      </c>
      <c r="I21" s="5">
        <v>0</v>
      </c>
      <c r="J21" s="5" t="b">
        <v>0</v>
      </c>
      <c r="K21" s="5" t="b">
        <v>1</v>
      </c>
      <c r="L21" s="5" t="s">
        <v>106</v>
      </c>
      <c r="M21" s="5" t="s">
        <v>107</v>
      </c>
      <c r="N21" s="23" t="s">
        <v>104</v>
      </c>
      <c r="O21" s="24" t="s">
        <v>105</v>
      </c>
      <c r="P21" s="25" t="s">
        <v>27</v>
      </c>
      <c r="Q21" s="5" t="s">
        <v>31</v>
      </c>
      <c r="R21" s="5" t="s">
        <v>35</v>
      </c>
      <c r="S21" s="5" t="s">
        <v>36</v>
      </c>
      <c r="T21" s="5" t="s">
        <v>42</v>
      </c>
      <c r="U21" s="9">
        <v>14.792899408284022</v>
      </c>
      <c r="V21" s="24" t="str">
        <f t="shared" ca="1" si="0"/>
        <v>15 ans</v>
      </c>
      <c r="W21" s="29" t="str">
        <f t="shared" si="1"/>
        <v>Dénutrition ou anorexie</v>
      </c>
    </row>
    <row r="22" spans="1:26" ht="21" x14ac:dyDescent="0.35">
      <c r="A22" s="5">
        <v>21</v>
      </c>
      <c r="B22" s="5" t="s">
        <v>17</v>
      </c>
      <c r="C22" s="5" t="s">
        <v>12</v>
      </c>
      <c r="D22" s="22" t="s">
        <v>108</v>
      </c>
      <c r="E22" s="5">
        <v>170</v>
      </c>
      <c r="F22" s="5">
        <v>95</v>
      </c>
      <c r="G22" s="5" t="s">
        <v>16</v>
      </c>
      <c r="H22" s="5" t="s">
        <v>16</v>
      </c>
      <c r="I22" s="5">
        <v>0</v>
      </c>
      <c r="J22" s="5" t="b">
        <v>0</v>
      </c>
      <c r="K22" s="5" t="b">
        <v>1</v>
      </c>
      <c r="L22" s="5" t="s">
        <v>109</v>
      </c>
      <c r="M22" s="5" t="s">
        <v>107</v>
      </c>
      <c r="N22" s="23" t="s">
        <v>71</v>
      </c>
      <c r="O22" s="24" t="s">
        <v>110</v>
      </c>
      <c r="P22" s="25" t="s">
        <v>27</v>
      </c>
      <c r="Q22" s="5" t="s">
        <v>30</v>
      </c>
      <c r="R22" s="5" t="s">
        <v>35</v>
      </c>
      <c r="S22" s="5" t="s">
        <v>36</v>
      </c>
      <c r="T22" s="5" t="s">
        <v>43</v>
      </c>
      <c r="U22" s="9">
        <v>32.871972318339104</v>
      </c>
      <c r="V22" s="24" t="str">
        <f t="shared" ca="1" si="0"/>
        <v>57 ans</v>
      </c>
      <c r="W22" s="29" t="str">
        <f t="shared" si="1"/>
        <v>Obesite moderee</v>
      </c>
    </row>
    <row r="23" spans="1:26" ht="21" x14ac:dyDescent="0.35">
      <c r="A23" s="5">
        <v>22</v>
      </c>
      <c r="B23" s="5" t="s">
        <v>17</v>
      </c>
      <c r="C23" s="5" t="s">
        <v>12</v>
      </c>
      <c r="D23" s="22" t="s">
        <v>111</v>
      </c>
      <c r="E23" s="5">
        <v>170</v>
      </c>
      <c r="F23" s="5">
        <v>55</v>
      </c>
      <c r="G23" s="5" t="s">
        <v>16</v>
      </c>
      <c r="H23" s="5" t="s">
        <v>14</v>
      </c>
      <c r="I23" s="5">
        <v>64</v>
      </c>
      <c r="J23" s="5" t="b">
        <v>0</v>
      </c>
      <c r="K23" s="5" t="b">
        <v>1</v>
      </c>
      <c r="L23" s="5" t="s">
        <v>112</v>
      </c>
      <c r="M23" s="5" t="s">
        <v>113</v>
      </c>
      <c r="N23" s="23" t="s">
        <v>114</v>
      </c>
      <c r="O23" s="24" t="s">
        <v>115</v>
      </c>
      <c r="P23" s="25" t="s">
        <v>28</v>
      </c>
      <c r="Q23" s="5" t="s">
        <v>31</v>
      </c>
      <c r="R23" s="5" t="s">
        <v>34</v>
      </c>
      <c r="S23" s="5" t="s">
        <v>36</v>
      </c>
      <c r="T23" s="5" t="s">
        <v>42</v>
      </c>
      <c r="U23" s="9">
        <v>19.031141868512112</v>
      </c>
      <c r="V23" s="24" t="str">
        <f t="shared" ca="1" si="0"/>
        <v>22 ans</v>
      </c>
      <c r="W23" s="29" t="str">
        <f t="shared" si="1"/>
        <v>Poids normal</v>
      </c>
    </row>
    <row r="24" spans="1:26" ht="42" x14ac:dyDescent="0.35">
      <c r="A24" s="5">
        <v>23</v>
      </c>
      <c r="B24" s="5" t="s">
        <v>17</v>
      </c>
      <c r="C24" s="5" t="s">
        <v>12</v>
      </c>
      <c r="D24" s="22" t="s">
        <v>116</v>
      </c>
      <c r="E24" s="5">
        <v>167</v>
      </c>
      <c r="F24" s="5">
        <v>115</v>
      </c>
      <c r="G24" s="5" t="s">
        <v>16</v>
      </c>
      <c r="H24" s="5" t="s">
        <v>14</v>
      </c>
      <c r="I24" s="5">
        <v>6</v>
      </c>
      <c r="J24" s="5" t="b">
        <v>0</v>
      </c>
      <c r="K24" s="5" t="b">
        <v>1</v>
      </c>
      <c r="L24" s="5" t="s">
        <v>117</v>
      </c>
      <c r="M24" s="5" t="s">
        <v>118</v>
      </c>
      <c r="N24" s="23" t="s">
        <v>114</v>
      </c>
      <c r="O24" s="23">
        <v>43499</v>
      </c>
      <c r="P24" s="25" t="s">
        <v>28</v>
      </c>
      <c r="Q24" s="5" t="s">
        <v>30</v>
      </c>
      <c r="R24" s="5" t="s">
        <v>33</v>
      </c>
      <c r="S24" s="5" t="s">
        <v>36</v>
      </c>
      <c r="T24" s="5" t="s">
        <v>45</v>
      </c>
      <c r="U24" s="9">
        <v>41.234895478504072</v>
      </c>
      <c r="V24" s="24" t="str">
        <f t="shared" ca="1" si="0"/>
        <v>22 ans</v>
      </c>
      <c r="W24" s="29" t="str">
        <f t="shared" si="1"/>
        <v>Obésité morbide ou massive</v>
      </c>
    </row>
    <row r="25" spans="1:26" ht="21" x14ac:dyDescent="0.35">
      <c r="A25" s="5">
        <v>24</v>
      </c>
      <c r="B25" s="5" t="s">
        <v>17</v>
      </c>
      <c r="C25" s="5" t="s">
        <v>12</v>
      </c>
      <c r="D25" s="22" t="s">
        <v>119</v>
      </c>
      <c r="E25" s="5">
        <v>186</v>
      </c>
      <c r="F25" s="5">
        <v>115</v>
      </c>
      <c r="G25" s="5" t="s">
        <v>16</v>
      </c>
      <c r="H25" s="5" t="s">
        <v>14</v>
      </c>
      <c r="I25" s="5">
        <v>6</v>
      </c>
      <c r="J25" s="5" t="b">
        <v>0</v>
      </c>
      <c r="K25" s="5" t="b">
        <v>1</v>
      </c>
      <c r="L25" s="5" t="s">
        <v>120</v>
      </c>
      <c r="M25" s="5" t="s">
        <v>121</v>
      </c>
      <c r="N25" s="23" t="s">
        <v>122</v>
      </c>
      <c r="O25" s="24" t="s">
        <v>68</v>
      </c>
      <c r="P25" s="25" t="s">
        <v>28</v>
      </c>
      <c r="Q25" s="5" t="s">
        <v>30</v>
      </c>
      <c r="R25" s="5" t="s">
        <v>34</v>
      </c>
      <c r="S25" s="5" t="s">
        <v>36</v>
      </c>
      <c r="T25" s="5" t="s">
        <v>45</v>
      </c>
      <c r="U25" s="9">
        <v>33.240837090993175</v>
      </c>
      <c r="V25" s="24" t="str">
        <f t="shared" ca="1" si="0"/>
        <v>54 ans</v>
      </c>
      <c r="W25" s="29" t="str">
        <f t="shared" si="1"/>
        <v>Obesite moderee</v>
      </c>
    </row>
    <row r="26" spans="1:26" ht="21" x14ac:dyDescent="0.35">
      <c r="A26" s="5">
        <v>25</v>
      </c>
      <c r="B26" s="5" t="s">
        <v>17</v>
      </c>
      <c r="C26" s="5" t="s">
        <v>12</v>
      </c>
      <c r="D26" s="22">
        <v>23746</v>
      </c>
      <c r="E26" s="5">
        <v>186</v>
      </c>
      <c r="F26" s="5">
        <v>65</v>
      </c>
      <c r="G26" s="5" t="s">
        <v>16</v>
      </c>
      <c r="H26" s="5" t="s">
        <v>14</v>
      </c>
      <c r="I26" s="5">
        <v>16</v>
      </c>
      <c r="J26" s="5" t="b">
        <v>1</v>
      </c>
      <c r="K26" s="5" t="b">
        <v>1</v>
      </c>
      <c r="L26" s="5" t="s">
        <v>123</v>
      </c>
      <c r="M26" s="5" t="s">
        <v>121</v>
      </c>
      <c r="N26" s="23" t="s">
        <v>124</v>
      </c>
      <c r="O26" s="24" t="s">
        <v>125</v>
      </c>
      <c r="P26" s="25" t="s">
        <v>27</v>
      </c>
      <c r="Q26" s="5" t="s">
        <v>31</v>
      </c>
      <c r="R26" s="5" t="s">
        <v>34</v>
      </c>
      <c r="S26" s="5" t="s">
        <v>36</v>
      </c>
      <c r="T26" s="5" t="s">
        <v>45</v>
      </c>
      <c r="U26" s="9">
        <v>18.78829922534397</v>
      </c>
      <c r="V26" s="24" t="str">
        <f t="shared" ca="1" si="0"/>
        <v>55 ans</v>
      </c>
      <c r="W26" s="29" t="str">
        <f t="shared" si="1"/>
        <v>Poids normal</v>
      </c>
    </row>
    <row r="27" spans="1:26" ht="21" x14ac:dyDescent="0.35">
      <c r="A27" s="5">
        <v>26</v>
      </c>
      <c r="B27" s="5" t="s">
        <v>11</v>
      </c>
      <c r="C27" s="5" t="s">
        <v>13</v>
      </c>
      <c r="D27" s="22">
        <v>19728</v>
      </c>
      <c r="E27" s="5">
        <v>186</v>
      </c>
      <c r="F27" s="5">
        <v>62</v>
      </c>
      <c r="G27" s="5" t="s">
        <v>54</v>
      </c>
      <c r="H27" s="5" t="s">
        <v>14</v>
      </c>
      <c r="I27" s="5">
        <v>1</v>
      </c>
      <c r="J27" s="5" t="b">
        <v>1</v>
      </c>
      <c r="K27" s="5" t="b">
        <v>1</v>
      </c>
      <c r="L27" s="5" t="s">
        <v>79</v>
      </c>
      <c r="M27" s="5" t="s">
        <v>126</v>
      </c>
      <c r="N27" s="23">
        <v>43740</v>
      </c>
      <c r="O27" s="23">
        <v>43741</v>
      </c>
      <c r="P27" s="25" t="s">
        <v>29</v>
      </c>
      <c r="Q27" s="5" t="s">
        <v>31</v>
      </c>
      <c r="R27" s="5" t="s">
        <v>33</v>
      </c>
      <c r="S27" s="5" t="s">
        <v>38</v>
      </c>
      <c r="T27" s="5" t="s">
        <v>45</v>
      </c>
      <c r="U27" s="9">
        <v>17.921146953405014</v>
      </c>
      <c r="V27" s="24" t="str">
        <f t="shared" ca="1" si="0"/>
        <v>66 ans</v>
      </c>
      <c r="W27" s="29" t="str">
        <f t="shared" si="1"/>
        <v>Maigreur</v>
      </c>
    </row>
    <row r="28" spans="1:26" ht="21" x14ac:dyDescent="0.35">
      <c r="A28" s="5">
        <v>27</v>
      </c>
      <c r="B28" s="5" t="s">
        <v>11</v>
      </c>
      <c r="C28" s="5" t="s">
        <v>13</v>
      </c>
      <c r="D28" s="22">
        <v>14614</v>
      </c>
      <c r="E28" s="5">
        <v>166</v>
      </c>
      <c r="F28" s="5">
        <v>69</v>
      </c>
      <c r="G28" s="5" t="s">
        <v>54</v>
      </c>
      <c r="H28" s="5" t="s">
        <v>14</v>
      </c>
      <c r="I28" s="5">
        <v>19</v>
      </c>
      <c r="J28" s="5" t="b">
        <v>1</v>
      </c>
      <c r="K28" s="5" t="b">
        <v>1</v>
      </c>
      <c r="L28" s="5" t="s">
        <v>79</v>
      </c>
      <c r="M28" s="5" t="s">
        <v>126</v>
      </c>
      <c r="N28" s="23">
        <v>43740</v>
      </c>
      <c r="O28" s="23">
        <v>43741</v>
      </c>
      <c r="P28" s="25" t="s">
        <v>29</v>
      </c>
      <c r="Q28" s="5" t="s">
        <v>31</v>
      </c>
      <c r="R28" s="5" t="s">
        <v>33</v>
      </c>
      <c r="S28" s="5" t="s">
        <v>39</v>
      </c>
      <c r="T28" s="5" t="s">
        <v>43</v>
      </c>
      <c r="U28" s="9">
        <v>25.039918710988534</v>
      </c>
      <c r="V28" s="24" t="str">
        <f t="shared" ca="1" si="0"/>
        <v>80 ans</v>
      </c>
      <c r="W28" s="29" t="str">
        <f t="shared" si="1"/>
        <v>Surpoids</v>
      </c>
    </row>
    <row r="29" spans="1:26" ht="21" x14ac:dyDescent="0.35">
      <c r="A29" s="5">
        <v>28</v>
      </c>
      <c r="B29" s="5" t="s">
        <v>11</v>
      </c>
      <c r="C29" s="5" t="s">
        <v>13</v>
      </c>
      <c r="D29" s="22">
        <v>14705</v>
      </c>
      <c r="E29" s="5">
        <v>166</v>
      </c>
      <c r="F29" s="5">
        <v>80</v>
      </c>
      <c r="G29" s="5" t="s">
        <v>54</v>
      </c>
      <c r="H29" s="5" t="s">
        <v>14</v>
      </c>
      <c r="I29" s="5">
        <v>9</v>
      </c>
      <c r="J29" s="5" t="b">
        <v>1</v>
      </c>
      <c r="K29" s="5" t="b">
        <v>1</v>
      </c>
      <c r="L29" s="5" t="s">
        <v>127</v>
      </c>
      <c r="M29" s="5" t="s">
        <v>128</v>
      </c>
      <c r="N29" s="23">
        <v>43745</v>
      </c>
      <c r="O29" s="23">
        <v>43806</v>
      </c>
      <c r="P29" s="25" t="s">
        <v>27</v>
      </c>
      <c r="Q29" s="5" t="s">
        <v>31</v>
      </c>
      <c r="R29" s="5" t="s">
        <v>35</v>
      </c>
      <c r="S29" s="5" t="s">
        <v>40</v>
      </c>
      <c r="T29" s="5" t="s">
        <v>43</v>
      </c>
      <c r="U29" s="9">
        <v>29.031789809841779</v>
      </c>
      <c r="V29" s="24" t="str">
        <f t="shared" ca="1" si="0"/>
        <v>79 ans</v>
      </c>
      <c r="W29" s="29" t="str">
        <f t="shared" si="1"/>
        <v>Surpoids</v>
      </c>
    </row>
    <row r="30" spans="1:26" ht="42" x14ac:dyDescent="0.35">
      <c r="A30" s="5">
        <v>29</v>
      </c>
      <c r="B30" s="5" t="s">
        <v>11</v>
      </c>
      <c r="C30" s="5" t="s">
        <v>13</v>
      </c>
      <c r="D30" s="22">
        <v>40272</v>
      </c>
      <c r="E30" s="5">
        <v>155</v>
      </c>
      <c r="F30" s="5">
        <v>101</v>
      </c>
      <c r="G30" s="5" t="s">
        <v>54</v>
      </c>
      <c r="H30" s="5" t="s">
        <v>14</v>
      </c>
      <c r="I30" s="5">
        <v>50</v>
      </c>
      <c r="J30" s="5" t="b">
        <v>1</v>
      </c>
      <c r="K30" s="5" t="b">
        <v>1</v>
      </c>
      <c r="L30" s="5" t="s">
        <v>129</v>
      </c>
      <c r="M30" s="5" t="s">
        <v>130</v>
      </c>
      <c r="N30" s="23">
        <v>43656</v>
      </c>
      <c r="O30" s="23">
        <v>43748</v>
      </c>
      <c r="P30" s="25" t="s">
        <v>27</v>
      </c>
      <c r="Q30" s="5" t="s">
        <v>31</v>
      </c>
      <c r="R30" s="5" t="s">
        <v>35</v>
      </c>
      <c r="S30" s="5" t="s">
        <v>36</v>
      </c>
      <c r="T30" s="5" t="s">
        <v>42</v>
      </c>
      <c r="U30" s="9">
        <v>42.039542143600414</v>
      </c>
      <c r="V30" s="24" t="str">
        <f t="shared" ca="1" si="0"/>
        <v>9 ans</v>
      </c>
      <c r="W30" s="29" t="str">
        <f t="shared" si="1"/>
        <v>Obésité morbide ou massive</v>
      </c>
    </row>
    <row r="31" spans="1:26" ht="21" x14ac:dyDescent="0.35">
      <c r="A31" s="5">
        <v>30</v>
      </c>
      <c r="B31" s="5" t="s">
        <v>11</v>
      </c>
      <c r="C31" s="5" t="s">
        <v>13</v>
      </c>
      <c r="D31" s="22" t="s">
        <v>131</v>
      </c>
      <c r="E31" s="5">
        <v>170</v>
      </c>
      <c r="F31" s="5">
        <v>46</v>
      </c>
      <c r="G31" s="5" t="s">
        <v>54</v>
      </c>
      <c r="H31" s="5" t="s">
        <v>14</v>
      </c>
      <c r="I31" s="5">
        <v>24</v>
      </c>
      <c r="J31" s="5" t="b">
        <v>1</v>
      </c>
      <c r="K31" s="5" t="b">
        <v>1</v>
      </c>
      <c r="L31" s="5" t="s">
        <v>86</v>
      </c>
      <c r="M31" s="5" t="s">
        <v>132</v>
      </c>
      <c r="N31" s="23" t="s">
        <v>133</v>
      </c>
      <c r="O31" s="24" t="s">
        <v>134</v>
      </c>
      <c r="P31" s="25" t="s">
        <v>28</v>
      </c>
      <c r="Q31" s="5" t="s">
        <v>31</v>
      </c>
      <c r="R31" s="5" t="s">
        <v>34</v>
      </c>
      <c r="S31" s="5" t="s">
        <v>40</v>
      </c>
      <c r="T31" s="5" t="s">
        <v>45</v>
      </c>
      <c r="U31" s="9">
        <v>15.91695501730104</v>
      </c>
      <c r="V31" s="24" t="str">
        <f t="shared" ca="1" si="0"/>
        <v>17 ans</v>
      </c>
      <c r="W31" s="29" t="str">
        <f t="shared" si="1"/>
        <v>Dénutrition ou anorexie</v>
      </c>
    </row>
    <row r="32" spans="1:26" ht="21" x14ac:dyDescent="0.35">
      <c r="A32" s="5">
        <v>31</v>
      </c>
      <c r="B32" s="5" t="s">
        <v>11</v>
      </c>
      <c r="C32" s="5" t="s">
        <v>13</v>
      </c>
      <c r="D32" s="22" t="s">
        <v>135</v>
      </c>
      <c r="E32" s="5">
        <v>170</v>
      </c>
      <c r="F32" s="5">
        <v>89</v>
      </c>
      <c r="G32" s="5" t="s">
        <v>54</v>
      </c>
      <c r="H32" s="5" t="s">
        <v>14</v>
      </c>
      <c r="I32" s="5">
        <v>4</v>
      </c>
      <c r="J32" s="5" t="b">
        <v>1</v>
      </c>
      <c r="K32" s="5" t="b">
        <v>1</v>
      </c>
      <c r="L32" s="5" t="s">
        <v>83</v>
      </c>
      <c r="M32" s="5" t="s">
        <v>132</v>
      </c>
      <c r="N32" s="23" t="s">
        <v>133</v>
      </c>
      <c r="O32" s="23">
        <v>43532</v>
      </c>
      <c r="P32" s="25" t="s">
        <v>28</v>
      </c>
      <c r="Q32" s="5" t="s">
        <v>31</v>
      </c>
      <c r="R32" s="5" t="s">
        <v>34</v>
      </c>
      <c r="S32" s="5" t="s">
        <v>37</v>
      </c>
      <c r="T32" s="5" t="s">
        <v>45</v>
      </c>
      <c r="U32" s="9">
        <v>30.795847750865054</v>
      </c>
      <c r="V32" s="24" t="str">
        <f t="shared" ca="1" si="0"/>
        <v>23 ans</v>
      </c>
      <c r="W32" s="29" t="str">
        <f t="shared" si="1"/>
        <v>Obesite moderee</v>
      </c>
    </row>
    <row r="33" spans="1:23" ht="21" x14ac:dyDescent="0.35">
      <c r="A33" s="5">
        <v>32</v>
      </c>
      <c r="B33" s="5" t="s">
        <v>17</v>
      </c>
      <c r="C33" s="5" t="s">
        <v>12</v>
      </c>
      <c r="D33" s="22" t="s">
        <v>136</v>
      </c>
      <c r="E33" s="5">
        <v>178</v>
      </c>
      <c r="F33" s="5">
        <v>89</v>
      </c>
      <c r="G33" s="5" t="s">
        <v>14</v>
      </c>
      <c r="H33" s="5" t="s">
        <v>16</v>
      </c>
      <c r="I33" s="5">
        <v>40</v>
      </c>
      <c r="J33" s="5" t="b">
        <v>1</v>
      </c>
      <c r="K33" s="5" t="b">
        <v>1</v>
      </c>
      <c r="L33" s="5" t="s">
        <v>79</v>
      </c>
      <c r="M33" s="5" t="s">
        <v>137</v>
      </c>
      <c r="N33" s="23">
        <v>43466</v>
      </c>
      <c r="O33" s="23">
        <v>43525</v>
      </c>
      <c r="P33" s="25" t="s">
        <v>29</v>
      </c>
      <c r="Q33" s="5" t="s">
        <v>31</v>
      </c>
      <c r="R33" s="5" t="s">
        <v>34</v>
      </c>
      <c r="S33" s="5" t="s">
        <v>40</v>
      </c>
      <c r="T33" s="5" t="s">
        <v>45</v>
      </c>
      <c r="U33" s="9">
        <v>28.089887640449437</v>
      </c>
      <c r="V33" s="24" t="str">
        <f t="shared" ca="1" si="0"/>
        <v>27 ans</v>
      </c>
      <c r="W33" s="29" t="str">
        <f t="shared" si="1"/>
        <v>Surpoids</v>
      </c>
    </row>
    <row r="34" spans="1:23" ht="21" x14ac:dyDescent="0.35">
      <c r="A34" s="5">
        <v>33</v>
      </c>
      <c r="B34" s="5" t="s">
        <v>17</v>
      </c>
      <c r="C34" s="5" t="s">
        <v>12</v>
      </c>
      <c r="D34" s="22">
        <v>33884</v>
      </c>
      <c r="E34" s="5">
        <v>178</v>
      </c>
      <c r="F34" s="5">
        <v>54</v>
      </c>
      <c r="G34" s="5" t="s">
        <v>14</v>
      </c>
      <c r="H34" s="5" t="s">
        <v>16</v>
      </c>
      <c r="I34" s="5">
        <v>40</v>
      </c>
      <c r="J34" s="5" t="b">
        <v>0</v>
      </c>
      <c r="K34" s="5" t="b">
        <v>1</v>
      </c>
      <c r="L34" s="5" t="s">
        <v>79</v>
      </c>
      <c r="M34" s="5" t="s">
        <v>60</v>
      </c>
      <c r="N34" s="23">
        <v>43745</v>
      </c>
      <c r="O34" s="23">
        <v>43525</v>
      </c>
      <c r="P34" s="25" t="s">
        <v>29</v>
      </c>
      <c r="Q34" s="5" t="s">
        <v>31</v>
      </c>
      <c r="R34" s="5" t="s">
        <v>34</v>
      </c>
      <c r="S34" s="5" t="s">
        <v>40</v>
      </c>
      <c r="T34" s="5" t="s">
        <v>43</v>
      </c>
      <c r="U34" s="9">
        <v>17.043302613306402</v>
      </c>
      <c r="V34" s="24" t="str">
        <f t="shared" ref="V34:V65" ca="1" si="2">DATEDIF(D34,TODAY(),"y") &amp; " ans"</f>
        <v>27 ans</v>
      </c>
      <c r="W34" s="29" t="str">
        <f t="shared" ref="W34:W65" si="3">IF(U34&lt;=16.5,"Dénutrition ou anorexie",
IF(AND(U34&gt;16.5,U34&lt;=18.5),"Maigreur",
IF(AND(U34&gt;18.5,U34&lt;=25),"Poids normal",
IF(AND(U34&gt;25,U34&lt;=30),"Surpoids",
IF(AND(U34&gt;30,U34&lt;=35),"Obesite moderee",
IF(AND(U34&gt;35,U34&lt;=40),"Obesite severe","Obésité morbide ou massive"))))))</f>
        <v>Maigreur</v>
      </c>
    </row>
    <row r="35" spans="1:23" ht="21" x14ac:dyDescent="0.35">
      <c r="A35" s="5">
        <v>34</v>
      </c>
      <c r="B35" s="5" t="s">
        <v>17</v>
      </c>
      <c r="C35" s="5" t="s">
        <v>13</v>
      </c>
      <c r="D35" s="22">
        <v>33884</v>
      </c>
      <c r="E35" s="5">
        <v>178</v>
      </c>
      <c r="F35" s="5">
        <v>54</v>
      </c>
      <c r="G35" s="5" t="s">
        <v>54</v>
      </c>
      <c r="H35" s="5" t="s">
        <v>16</v>
      </c>
      <c r="I35" s="5">
        <v>3</v>
      </c>
      <c r="J35" s="5" t="b">
        <v>1</v>
      </c>
      <c r="K35" s="5" t="b">
        <v>1</v>
      </c>
      <c r="L35" s="5" t="s">
        <v>138</v>
      </c>
      <c r="M35" s="5" t="s">
        <v>139</v>
      </c>
      <c r="N35" s="23">
        <v>43745</v>
      </c>
      <c r="O35" s="24" t="s">
        <v>140</v>
      </c>
      <c r="P35" s="25" t="s">
        <v>29</v>
      </c>
      <c r="Q35" s="5" t="s">
        <v>30</v>
      </c>
      <c r="R35" s="5" t="s">
        <v>33</v>
      </c>
      <c r="S35" s="5" t="s">
        <v>40</v>
      </c>
      <c r="T35" s="5" t="s">
        <v>43</v>
      </c>
      <c r="U35" s="9">
        <v>17.043302613306402</v>
      </c>
      <c r="V35" s="24" t="str">
        <f t="shared" ca="1" si="2"/>
        <v>27 ans</v>
      </c>
      <c r="W35" s="29" t="str">
        <f t="shared" si="3"/>
        <v>Maigreur</v>
      </c>
    </row>
    <row r="36" spans="1:23" ht="21" x14ac:dyDescent="0.35">
      <c r="A36" s="5">
        <v>35</v>
      </c>
      <c r="B36" s="5" t="s">
        <v>17</v>
      </c>
      <c r="C36" s="5" t="s">
        <v>13</v>
      </c>
      <c r="D36" s="22">
        <v>33729</v>
      </c>
      <c r="E36" s="5">
        <v>180</v>
      </c>
      <c r="F36" s="5">
        <v>76</v>
      </c>
      <c r="G36" s="5" t="s">
        <v>54</v>
      </c>
      <c r="H36" s="5" t="s">
        <v>16</v>
      </c>
      <c r="I36" s="5">
        <v>34</v>
      </c>
      <c r="J36" s="5" t="b">
        <v>1</v>
      </c>
      <c r="K36" s="5" t="b">
        <v>1</v>
      </c>
      <c r="L36" s="5" t="s">
        <v>76</v>
      </c>
      <c r="M36" s="5" t="s">
        <v>141</v>
      </c>
      <c r="N36" s="23">
        <v>43473</v>
      </c>
      <c r="O36" s="23">
        <v>43473</v>
      </c>
      <c r="P36" s="25" t="s">
        <v>29</v>
      </c>
      <c r="Q36" s="5" t="s">
        <v>30</v>
      </c>
      <c r="R36" s="5" t="s">
        <v>34</v>
      </c>
      <c r="S36" s="5" t="s">
        <v>39</v>
      </c>
      <c r="T36" s="5" t="s">
        <v>42</v>
      </c>
      <c r="U36" s="9">
        <v>23.456790123456788</v>
      </c>
      <c r="V36" s="24" t="str">
        <f t="shared" ca="1" si="2"/>
        <v>27 ans</v>
      </c>
      <c r="W36" s="29" t="str">
        <f t="shared" si="3"/>
        <v>Poids normal</v>
      </c>
    </row>
    <row r="37" spans="1:23" ht="21" x14ac:dyDescent="0.35">
      <c r="A37" s="5">
        <v>36</v>
      </c>
      <c r="B37" s="5" t="s">
        <v>11</v>
      </c>
      <c r="C37" s="5" t="s">
        <v>12</v>
      </c>
      <c r="D37" s="22">
        <v>31902</v>
      </c>
      <c r="E37" s="5">
        <v>180</v>
      </c>
      <c r="F37" s="5">
        <v>103</v>
      </c>
      <c r="G37" s="5" t="s">
        <v>15</v>
      </c>
      <c r="H37" s="5" t="s">
        <v>14</v>
      </c>
      <c r="I37" s="5">
        <v>29</v>
      </c>
      <c r="J37" s="5" t="b">
        <v>1</v>
      </c>
      <c r="K37" s="5" t="b">
        <v>1</v>
      </c>
      <c r="L37" s="5" t="s">
        <v>76</v>
      </c>
      <c r="M37" s="5" t="s">
        <v>142</v>
      </c>
      <c r="N37" s="23">
        <v>43653</v>
      </c>
      <c r="O37" s="23">
        <v>43473</v>
      </c>
      <c r="P37" s="25" t="s">
        <v>29</v>
      </c>
      <c r="Q37" s="5" t="s">
        <v>30</v>
      </c>
      <c r="R37" s="5" t="s">
        <v>34</v>
      </c>
      <c r="S37" s="5" t="s">
        <v>37</v>
      </c>
      <c r="T37" s="5" t="s">
        <v>42</v>
      </c>
      <c r="U37" s="9">
        <v>31.79012345679012</v>
      </c>
      <c r="V37" s="24" t="str">
        <f t="shared" ca="1" si="2"/>
        <v>32 ans</v>
      </c>
      <c r="W37" s="29" t="str">
        <f t="shared" si="3"/>
        <v>Obesite moderee</v>
      </c>
    </row>
    <row r="38" spans="1:23" ht="21" x14ac:dyDescent="0.35">
      <c r="A38" s="5">
        <v>37</v>
      </c>
      <c r="B38" s="5" t="s">
        <v>11</v>
      </c>
      <c r="C38" s="5" t="s">
        <v>12</v>
      </c>
      <c r="D38" s="22" t="s">
        <v>143</v>
      </c>
      <c r="E38" s="5">
        <v>159</v>
      </c>
      <c r="F38" s="5">
        <v>76</v>
      </c>
      <c r="G38" s="5" t="s">
        <v>15</v>
      </c>
      <c r="H38" s="5" t="s">
        <v>14</v>
      </c>
      <c r="I38" s="5">
        <v>0</v>
      </c>
      <c r="J38" s="5" t="b">
        <v>0</v>
      </c>
      <c r="K38" s="5" t="b">
        <v>1</v>
      </c>
      <c r="L38" s="5" t="s">
        <v>144</v>
      </c>
      <c r="M38" s="5" t="s">
        <v>89</v>
      </c>
      <c r="N38" s="23">
        <v>43653</v>
      </c>
      <c r="O38" s="23">
        <v>43473</v>
      </c>
      <c r="P38" s="25" t="s">
        <v>27</v>
      </c>
      <c r="Q38" s="5" t="s">
        <v>31</v>
      </c>
      <c r="R38" s="5" t="s">
        <v>35</v>
      </c>
      <c r="S38" s="5" t="s">
        <v>36</v>
      </c>
      <c r="T38" s="5" t="s">
        <v>42</v>
      </c>
      <c r="U38" s="9">
        <v>30.062101973814325</v>
      </c>
      <c r="V38" s="24" t="str">
        <f t="shared" ca="1" si="2"/>
        <v>30 ans</v>
      </c>
      <c r="W38" s="29" t="str">
        <f t="shared" si="3"/>
        <v>Obesite moderee</v>
      </c>
    </row>
    <row r="39" spans="1:23" ht="21" x14ac:dyDescent="0.35">
      <c r="A39" s="5">
        <v>38</v>
      </c>
      <c r="B39" s="5" t="s">
        <v>11</v>
      </c>
      <c r="C39" s="5" t="s">
        <v>12</v>
      </c>
      <c r="D39" s="22" t="s">
        <v>145</v>
      </c>
      <c r="E39" s="5">
        <v>178</v>
      </c>
      <c r="F39" s="5">
        <v>90</v>
      </c>
      <c r="G39" s="5" t="s">
        <v>16</v>
      </c>
      <c r="H39" s="5" t="s">
        <v>14</v>
      </c>
      <c r="I39" s="5">
        <v>40</v>
      </c>
      <c r="J39" s="5" t="b">
        <v>0</v>
      </c>
      <c r="K39" s="5" t="b">
        <v>1</v>
      </c>
      <c r="L39" s="5" t="s">
        <v>55</v>
      </c>
      <c r="M39" s="5" t="s">
        <v>107</v>
      </c>
      <c r="N39" s="23" t="s">
        <v>146</v>
      </c>
      <c r="O39" s="23">
        <v>43473</v>
      </c>
      <c r="P39" s="25" t="s">
        <v>27</v>
      </c>
      <c r="Q39" s="5" t="s">
        <v>31</v>
      </c>
      <c r="R39" s="5" t="s">
        <v>35</v>
      </c>
      <c r="S39" s="5" t="s">
        <v>36</v>
      </c>
      <c r="T39" s="5" t="s">
        <v>42</v>
      </c>
      <c r="U39" s="9">
        <v>28.405504355510669</v>
      </c>
      <c r="V39" s="24" t="str">
        <f t="shared" ca="1" si="2"/>
        <v>30 ans</v>
      </c>
      <c r="W39" s="29" t="str">
        <f t="shared" si="3"/>
        <v>Surpoids</v>
      </c>
    </row>
    <row r="40" spans="1:23" ht="21" x14ac:dyDescent="0.35">
      <c r="A40" s="5">
        <v>39</v>
      </c>
      <c r="B40" s="5" t="s">
        <v>17</v>
      </c>
      <c r="C40" s="5" t="s">
        <v>13</v>
      </c>
      <c r="D40" s="22" t="s">
        <v>147</v>
      </c>
      <c r="E40" s="5">
        <v>178</v>
      </c>
      <c r="F40" s="5">
        <v>96</v>
      </c>
      <c r="G40" s="5" t="s">
        <v>54</v>
      </c>
      <c r="H40" s="5" t="s">
        <v>14</v>
      </c>
      <c r="I40" s="5">
        <v>46</v>
      </c>
      <c r="J40" s="5" t="b">
        <v>0</v>
      </c>
      <c r="K40" s="5" t="b">
        <v>1</v>
      </c>
      <c r="L40" s="5" t="s">
        <v>138</v>
      </c>
      <c r="M40" s="5" t="s">
        <v>148</v>
      </c>
      <c r="N40" s="23" t="s">
        <v>149</v>
      </c>
      <c r="O40" s="24" t="s">
        <v>150</v>
      </c>
      <c r="P40" s="25" t="s">
        <v>29</v>
      </c>
      <c r="Q40" s="5" t="s">
        <v>30</v>
      </c>
      <c r="R40" s="5" t="s">
        <v>34</v>
      </c>
      <c r="S40" s="5" t="s">
        <v>39</v>
      </c>
      <c r="T40" s="5" t="s">
        <v>43</v>
      </c>
      <c r="U40" s="9">
        <v>30.299204645878046</v>
      </c>
      <c r="V40" s="24" t="str">
        <f t="shared" ca="1" si="2"/>
        <v>49 ans</v>
      </c>
      <c r="W40" s="29" t="str">
        <f t="shared" si="3"/>
        <v>Obesite moderee</v>
      </c>
    </row>
    <row r="41" spans="1:23" ht="21" x14ac:dyDescent="0.35">
      <c r="A41" s="5">
        <v>40</v>
      </c>
      <c r="B41" s="5" t="s">
        <v>17</v>
      </c>
      <c r="C41" s="5" t="s">
        <v>13</v>
      </c>
      <c r="D41" s="22" t="s">
        <v>151</v>
      </c>
      <c r="E41" s="5">
        <v>178</v>
      </c>
      <c r="F41" s="5">
        <v>87</v>
      </c>
      <c r="G41" s="5" t="s">
        <v>54</v>
      </c>
      <c r="H41" s="5" t="s">
        <v>14</v>
      </c>
      <c r="I41" s="5">
        <v>0</v>
      </c>
      <c r="J41" s="5" t="b">
        <v>0</v>
      </c>
      <c r="K41" s="5" t="b">
        <v>1</v>
      </c>
      <c r="L41" s="5" t="s">
        <v>138</v>
      </c>
      <c r="M41" s="5" t="s">
        <v>152</v>
      </c>
      <c r="N41" s="23" t="s">
        <v>153</v>
      </c>
      <c r="O41" s="24" t="s">
        <v>154</v>
      </c>
      <c r="P41" s="25" t="s">
        <v>29</v>
      </c>
      <c r="Q41" s="5" t="s">
        <v>30</v>
      </c>
      <c r="R41" s="5" t="s">
        <v>32</v>
      </c>
      <c r="S41" s="5" t="s">
        <v>40</v>
      </c>
      <c r="T41" s="5" t="s">
        <v>42</v>
      </c>
      <c r="U41" s="9">
        <v>27.458654210326976</v>
      </c>
      <c r="V41" s="24" t="str">
        <f t="shared" ca="1" si="2"/>
        <v>63 ans</v>
      </c>
      <c r="W41" s="29" t="str">
        <f t="shared" si="3"/>
        <v>Surpoids</v>
      </c>
    </row>
    <row r="42" spans="1:23" ht="21" x14ac:dyDescent="0.35">
      <c r="A42" s="5">
        <v>41</v>
      </c>
      <c r="B42" s="5" t="s">
        <v>17</v>
      </c>
      <c r="C42" s="5" t="s">
        <v>12</v>
      </c>
      <c r="D42" s="22" t="s">
        <v>155</v>
      </c>
      <c r="E42" s="5">
        <v>178</v>
      </c>
      <c r="F42" s="5">
        <v>62</v>
      </c>
      <c r="G42" s="5" t="s">
        <v>16</v>
      </c>
      <c r="H42" s="5" t="s">
        <v>14</v>
      </c>
      <c r="I42" s="5">
        <v>65</v>
      </c>
      <c r="J42" s="5" t="b">
        <v>0</v>
      </c>
      <c r="K42" s="5" t="b">
        <v>1</v>
      </c>
      <c r="L42" s="5" t="s">
        <v>156</v>
      </c>
      <c r="M42" s="5" t="s">
        <v>157</v>
      </c>
      <c r="N42" s="23" t="s">
        <v>158</v>
      </c>
      <c r="O42" s="24" t="s">
        <v>159</v>
      </c>
      <c r="P42" s="25" t="s">
        <v>29</v>
      </c>
      <c r="Q42" s="5" t="s">
        <v>30</v>
      </c>
      <c r="R42" s="5" t="s">
        <v>33</v>
      </c>
      <c r="S42" s="5" t="s">
        <v>38</v>
      </c>
      <c r="T42" s="5" t="s">
        <v>45</v>
      </c>
      <c r="U42" s="9">
        <v>19.568236333796236</v>
      </c>
      <c r="V42" s="24" t="str">
        <f t="shared" ca="1" si="2"/>
        <v>71 ans</v>
      </c>
      <c r="W42" s="29" t="str">
        <f t="shared" si="3"/>
        <v>Poids normal</v>
      </c>
    </row>
    <row r="43" spans="1:23" ht="21" x14ac:dyDescent="0.35">
      <c r="A43" s="5">
        <v>42</v>
      </c>
      <c r="B43" s="5" t="s">
        <v>17</v>
      </c>
      <c r="C43" s="5" t="s">
        <v>12</v>
      </c>
      <c r="D43" s="22" t="s">
        <v>160</v>
      </c>
      <c r="E43" s="5">
        <v>179</v>
      </c>
      <c r="F43" s="5">
        <v>68</v>
      </c>
      <c r="G43" s="5" t="s">
        <v>16</v>
      </c>
      <c r="H43" s="5" t="s">
        <v>14</v>
      </c>
      <c r="I43" s="5">
        <v>5</v>
      </c>
      <c r="J43" s="5" t="b">
        <v>0</v>
      </c>
      <c r="K43" s="5" t="b">
        <v>1</v>
      </c>
      <c r="L43" s="5" t="s">
        <v>161</v>
      </c>
      <c r="M43" s="5" t="s">
        <v>162</v>
      </c>
      <c r="N43" s="23">
        <v>43477</v>
      </c>
      <c r="O43" s="24" t="s">
        <v>163</v>
      </c>
      <c r="P43" s="25" t="s">
        <v>29</v>
      </c>
      <c r="Q43" s="5" t="s">
        <v>31</v>
      </c>
      <c r="R43" s="5" t="s">
        <v>32</v>
      </c>
      <c r="S43" s="5" t="s">
        <v>36</v>
      </c>
      <c r="T43" s="5" t="s">
        <v>43</v>
      </c>
      <c r="U43" s="9">
        <v>21.222808276895229</v>
      </c>
      <c r="V43" s="24" t="str">
        <f t="shared" ca="1" si="2"/>
        <v>67 ans</v>
      </c>
      <c r="W43" s="29" t="str">
        <f t="shared" si="3"/>
        <v>Poids normal</v>
      </c>
    </row>
    <row r="44" spans="1:23" ht="21" x14ac:dyDescent="0.35">
      <c r="A44" s="5">
        <v>43</v>
      </c>
      <c r="B44" s="5" t="s">
        <v>17</v>
      </c>
      <c r="C44" s="5" t="s">
        <v>12</v>
      </c>
      <c r="D44" s="22" t="s">
        <v>164</v>
      </c>
      <c r="E44" s="5">
        <v>196</v>
      </c>
      <c r="F44" s="5">
        <v>65</v>
      </c>
      <c r="G44" s="5" t="s">
        <v>16</v>
      </c>
      <c r="H44" s="5" t="s">
        <v>14</v>
      </c>
      <c r="I44" s="5">
        <v>15</v>
      </c>
      <c r="J44" s="5" t="b">
        <v>0</v>
      </c>
      <c r="K44" s="5" t="b">
        <v>1</v>
      </c>
      <c r="L44" s="5" t="s">
        <v>165</v>
      </c>
      <c r="M44" s="5" t="s">
        <v>166</v>
      </c>
      <c r="N44" s="23">
        <v>43477</v>
      </c>
      <c r="O44" s="23">
        <v>43508</v>
      </c>
      <c r="P44" s="25" t="s">
        <v>27</v>
      </c>
      <c r="Q44" s="5" t="s">
        <v>31</v>
      </c>
      <c r="R44" s="5" t="s">
        <v>35</v>
      </c>
      <c r="S44" s="5" t="s">
        <v>36</v>
      </c>
      <c r="T44" s="5" t="s">
        <v>42</v>
      </c>
      <c r="U44" s="9">
        <v>16.92003331945023</v>
      </c>
      <c r="V44" s="24" t="str">
        <f t="shared" ca="1" si="2"/>
        <v>21 ans</v>
      </c>
      <c r="W44" s="29" t="str">
        <f t="shared" si="3"/>
        <v>Maigreur</v>
      </c>
    </row>
    <row r="45" spans="1:23" ht="21" x14ac:dyDescent="0.35">
      <c r="A45" s="5">
        <v>44</v>
      </c>
      <c r="B45" s="5" t="s">
        <v>17</v>
      </c>
      <c r="C45" s="5" t="s">
        <v>12</v>
      </c>
      <c r="D45" s="22" t="s">
        <v>167</v>
      </c>
      <c r="E45" s="5">
        <v>161</v>
      </c>
      <c r="F45" s="5">
        <v>65</v>
      </c>
      <c r="G45" s="5" t="s">
        <v>16</v>
      </c>
      <c r="H45" s="5" t="s">
        <v>14</v>
      </c>
      <c r="I45" s="5">
        <v>13</v>
      </c>
      <c r="J45" s="5" t="b">
        <v>0</v>
      </c>
      <c r="K45" s="5" t="b">
        <v>1</v>
      </c>
      <c r="L45" s="5" t="s">
        <v>165</v>
      </c>
      <c r="M45" s="5" t="s">
        <v>168</v>
      </c>
      <c r="N45" s="23">
        <v>43498</v>
      </c>
      <c r="O45" s="23">
        <v>43679</v>
      </c>
      <c r="P45" s="25" t="s">
        <v>28</v>
      </c>
      <c r="Q45" s="5" t="s">
        <v>31</v>
      </c>
      <c r="R45" s="5" t="s">
        <v>32</v>
      </c>
      <c r="S45" s="5" t="s">
        <v>36</v>
      </c>
      <c r="T45" s="5" t="s">
        <v>42</v>
      </c>
      <c r="U45" s="9">
        <v>25.076193048107708</v>
      </c>
      <c r="V45" s="24" t="str">
        <f t="shared" ca="1" si="2"/>
        <v>62 ans</v>
      </c>
      <c r="W45" s="29" t="str">
        <f t="shared" si="3"/>
        <v>Surpoids</v>
      </c>
    </row>
    <row r="46" spans="1:23" ht="21" x14ac:dyDescent="0.35">
      <c r="A46" s="5">
        <v>45</v>
      </c>
      <c r="B46" s="5" t="s">
        <v>17</v>
      </c>
      <c r="C46" s="5" t="s">
        <v>12</v>
      </c>
      <c r="D46" s="22">
        <v>34824</v>
      </c>
      <c r="E46" s="5">
        <v>161</v>
      </c>
      <c r="F46" s="5">
        <v>76</v>
      </c>
      <c r="G46" s="5" t="s">
        <v>16</v>
      </c>
      <c r="H46" s="5" t="s">
        <v>14</v>
      </c>
      <c r="I46" s="5">
        <v>10</v>
      </c>
      <c r="J46" s="5" t="b">
        <v>1</v>
      </c>
      <c r="K46" s="5" t="b">
        <v>1</v>
      </c>
      <c r="L46" s="5" t="s">
        <v>76</v>
      </c>
      <c r="M46" s="5" t="s">
        <v>169</v>
      </c>
      <c r="N46" s="23">
        <v>43498</v>
      </c>
      <c r="O46" s="23">
        <v>43679</v>
      </c>
      <c r="P46" s="25" t="s">
        <v>28</v>
      </c>
      <c r="Q46" s="5" t="s">
        <v>31</v>
      </c>
      <c r="R46" s="5" t="s">
        <v>32</v>
      </c>
      <c r="S46" s="5" t="s">
        <v>36</v>
      </c>
      <c r="T46" s="5" t="s">
        <v>42</v>
      </c>
      <c r="U46" s="9">
        <v>29.319856487018246</v>
      </c>
      <c r="V46" s="24" t="str">
        <f t="shared" ca="1" si="2"/>
        <v>24 ans</v>
      </c>
      <c r="W46" s="29" t="str">
        <f t="shared" si="3"/>
        <v>Surpoids</v>
      </c>
    </row>
    <row r="47" spans="1:23" ht="21" x14ac:dyDescent="0.35">
      <c r="A47" s="5">
        <v>46</v>
      </c>
      <c r="B47" s="5" t="s">
        <v>11</v>
      </c>
      <c r="C47" s="5" t="s">
        <v>13</v>
      </c>
      <c r="D47" s="22">
        <v>34490</v>
      </c>
      <c r="E47" s="5">
        <v>171</v>
      </c>
      <c r="F47" s="5">
        <v>76</v>
      </c>
      <c r="G47" s="5" t="s">
        <v>54</v>
      </c>
      <c r="H47" s="5" t="s">
        <v>14</v>
      </c>
      <c r="I47" s="5">
        <v>10</v>
      </c>
      <c r="J47" s="5" t="b">
        <v>1</v>
      </c>
      <c r="K47" s="5" t="b">
        <v>1</v>
      </c>
      <c r="L47" s="5" t="s">
        <v>76</v>
      </c>
      <c r="M47" s="5" t="s">
        <v>169</v>
      </c>
      <c r="N47" s="23">
        <v>43526</v>
      </c>
      <c r="O47" s="23">
        <v>43679</v>
      </c>
      <c r="P47" s="25" t="s">
        <v>28</v>
      </c>
      <c r="Q47" s="5" t="s">
        <v>31</v>
      </c>
      <c r="R47" s="5" t="s">
        <v>32</v>
      </c>
      <c r="S47" s="5" t="s">
        <v>40</v>
      </c>
      <c r="T47" s="5" t="s">
        <v>42</v>
      </c>
      <c r="U47" s="9">
        <v>25.990903183885642</v>
      </c>
      <c r="V47" s="24" t="str">
        <f t="shared" ca="1" si="2"/>
        <v>25 ans</v>
      </c>
      <c r="W47" s="29" t="str">
        <f t="shared" si="3"/>
        <v>Surpoids</v>
      </c>
    </row>
    <row r="48" spans="1:23" ht="21" x14ac:dyDescent="0.35">
      <c r="A48" s="5">
        <v>47</v>
      </c>
      <c r="B48" s="5" t="s">
        <v>11</v>
      </c>
      <c r="C48" s="5" t="s">
        <v>13</v>
      </c>
      <c r="D48" s="22">
        <v>33090</v>
      </c>
      <c r="E48" s="5">
        <v>171</v>
      </c>
      <c r="F48" s="5">
        <v>86</v>
      </c>
      <c r="G48" s="5" t="s">
        <v>54</v>
      </c>
      <c r="H48" s="5" t="s">
        <v>16</v>
      </c>
      <c r="I48" s="5">
        <v>19</v>
      </c>
      <c r="J48" s="5" t="b">
        <v>1</v>
      </c>
      <c r="K48" s="5" t="b">
        <v>1</v>
      </c>
      <c r="L48" s="5" t="s">
        <v>76</v>
      </c>
      <c r="M48" s="5" t="s">
        <v>170</v>
      </c>
      <c r="N48" s="23">
        <v>43536</v>
      </c>
      <c r="O48" s="23">
        <v>43740</v>
      </c>
      <c r="P48" s="25" t="s">
        <v>29</v>
      </c>
      <c r="Q48" s="5" t="s">
        <v>30</v>
      </c>
      <c r="R48" s="5" t="s">
        <v>34</v>
      </c>
      <c r="S48" s="5" t="s">
        <v>40</v>
      </c>
      <c r="T48" s="5" t="s">
        <v>43</v>
      </c>
      <c r="U48" s="9">
        <v>29.410758865975858</v>
      </c>
      <c r="V48" s="24" t="str">
        <f t="shared" ca="1" si="2"/>
        <v>29 ans</v>
      </c>
      <c r="W48" s="29" t="str">
        <f t="shared" si="3"/>
        <v>Surpoids</v>
      </c>
    </row>
    <row r="49" spans="1:23" ht="21" x14ac:dyDescent="0.35">
      <c r="A49" s="5">
        <v>48</v>
      </c>
      <c r="B49" s="5" t="s">
        <v>17</v>
      </c>
      <c r="C49" s="5" t="s">
        <v>12</v>
      </c>
      <c r="D49" s="22" t="s">
        <v>171</v>
      </c>
      <c r="E49" s="5">
        <v>191</v>
      </c>
      <c r="F49" s="5">
        <v>80</v>
      </c>
      <c r="G49" s="5" t="s">
        <v>14</v>
      </c>
      <c r="H49" s="5" t="s">
        <v>14</v>
      </c>
      <c r="I49" s="5">
        <v>9</v>
      </c>
      <c r="J49" s="5" t="b">
        <v>1</v>
      </c>
      <c r="K49" s="5" t="b">
        <v>1</v>
      </c>
      <c r="L49" s="5" t="s">
        <v>91</v>
      </c>
      <c r="M49" s="5" t="s">
        <v>170</v>
      </c>
      <c r="N49" s="23">
        <v>43536</v>
      </c>
      <c r="O49" s="23">
        <v>43750</v>
      </c>
      <c r="P49" s="25" t="s">
        <v>29</v>
      </c>
      <c r="Q49" s="5" t="s">
        <v>31</v>
      </c>
      <c r="R49" s="5" t="s">
        <v>34</v>
      </c>
      <c r="S49" s="5" t="s">
        <v>36</v>
      </c>
      <c r="T49" s="5" t="s">
        <v>43</v>
      </c>
      <c r="U49" s="9">
        <v>21.929223431375238</v>
      </c>
      <c r="V49" s="24" t="str">
        <f t="shared" ca="1" si="2"/>
        <v>29 ans</v>
      </c>
      <c r="W49" s="29" t="str">
        <f t="shared" si="3"/>
        <v>Poids normal</v>
      </c>
    </row>
    <row r="50" spans="1:23" ht="21" x14ac:dyDescent="0.35">
      <c r="A50" s="5">
        <v>49</v>
      </c>
      <c r="B50" s="5" t="s">
        <v>17</v>
      </c>
      <c r="C50" s="5" t="s">
        <v>13</v>
      </c>
      <c r="D50" s="22" t="s">
        <v>172</v>
      </c>
      <c r="E50" s="5">
        <v>191</v>
      </c>
      <c r="F50" s="5">
        <v>87</v>
      </c>
      <c r="G50" s="5" t="s">
        <v>54</v>
      </c>
      <c r="H50" s="5" t="s">
        <v>16</v>
      </c>
      <c r="I50" s="5">
        <v>0</v>
      </c>
      <c r="J50" s="5" t="b">
        <v>1</v>
      </c>
      <c r="K50" s="5" t="b">
        <v>1</v>
      </c>
      <c r="L50" s="5" t="s">
        <v>173</v>
      </c>
      <c r="M50" s="5" t="s">
        <v>73</v>
      </c>
      <c r="N50" s="23">
        <v>43536</v>
      </c>
      <c r="O50" s="24" t="s">
        <v>85</v>
      </c>
      <c r="P50" s="25" t="s">
        <v>29</v>
      </c>
      <c r="Q50" s="5" t="s">
        <v>30</v>
      </c>
      <c r="R50" s="5" t="s">
        <v>34</v>
      </c>
      <c r="S50" s="5" t="s">
        <v>41</v>
      </c>
      <c r="T50" s="5" t="s">
        <v>45</v>
      </c>
      <c r="U50" s="9">
        <v>23.848030481620569</v>
      </c>
      <c r="V50" s="24" t="str">
        <f t="shared" ca="1" si="2"/>
        <v>29 ans</v>
      </c>
      <c r="W50" s="29" t="str">
        <f t="shared" si="3"/>
        <v>Poids normal</v>
      </c>
    </row>
    <row r="51" spans="1:23" ht="21" x14ac:dyDescent="0.35">
      <c r="A51" s="5">
        <v>50</v>
      </c>
      <c r="B51" s="5" t="s">
        <v>11</v>
      </c>
      <c r="C51" s="5" t="s">
        <v>12</v>
      </c>
      <c r="D51" s="22" t="s">
        <v>174</v>
      </c>
      <c r="E51" s="5">
        <v>167</v>
      </c>
      <c r="F51" s="5">
        <v>87</v>
      </c>
      <c r="G51" s="5" t="s">
        <v>14</v>
      </c>
      <c r="H51" s="5" t="s">
        <v>14</v>
      </c>
      <c r="I51" s="5">
        <v>30</v>
      </c>
      <c r="J51" s="5" t="b">
        <v>1</v>
      </c>
      <c r="K51" s="5" t="b">
        <v>1</v>
      </c>
      <c r="L51" s="5" t="s">
        <v>175</v>
      </c>
      <c r="M51" s="5" t="s">
        <v>176</v>
      </c>
      <c r="N51" s="23">
        <v>43536</v>
      </c>
      <c r="O51" s="24" t="s">
        <v>85</v>
      </c>
      <c r="P51" s="25" t="s">
        <v>27</v>
      </c>
      <c r="Q51" s="5" t="s">
        <v>31</v>
      </c>
      <c r="R51" s="5" t="s">
        <v>35</v>
      </c>
      <c r="S51" s="5" t="s">
        <v>36</v>
      </c>
      <c r="T51" s="5" t="s">
        <v>43</v>
      </c>
      <c r="U51" s="9">
        <v>31.1950948402596</v>
      </c>
      <c r="V51" s="24" t="str">
        <f t="shared" ca="1" si="2"/>
        <v>29 ans</v>
      </c>
      <c r="W51" s="29" t="str">
        <f t="shared" si="3"/>
        <v>Obesite moderee</v>
      </c>
    </row>
    <row r="52" spans="1:23" ht="21" x14ac:dyDescent="0.35">
      <c r="A52" s="5">
        <v>51</v>
      </c>
      <c r="B52" s="5" t="s">
        <v>11</v>
      </c>
      <c r="C52" s="5" t="s">
        <v>12</v>
      </c>
      <c r="D52" s="22" t="s">
        <v>177</v>
      </c>
      <c r="E52" s="5">
        <v>120</v>
      </c>
      <c r="F52" s="5">
        <v>20</v>
      </c>
      <c r="G52" s="5" t="s">
        <v>16</v>
      </c>
      <c r="H52" s="5" t="s">
        <v>14</v>
      </c>
      <c r="I52" s="5">
        <v>20</v>
      </c>
      <c r="J52" s="5" t="b">
        <v>1</v>
      </c>
      <c r="K52" s="5" t="b">
        <v>1</v>
      </c>
      <c r="L52" s="5" t="s">
        <v>61</v>
      </c>
      <c r="M52" s="5" t="s">
        <v>157</v>
      </c>
      <c r="N52" s="23" t="s">
        <v>125</v>
      </c>
      <c r="O52" s="24" t="s">
        <v>178</v>
      </c>
      <c r="P52" s="25" t="s">
        <v>27</v>
      </c>
      <c r="Q52" s="5" t="s">
        <v>31</v>
      </c>
      <c r="R52" s="5" t="s">
        <v>34</v>
      </c>
      <c r="S52" s="5" t="s">
        <v>37</v>
      </c>
      <c r="T52" s="5" t="s">
        <v>42</v>
      </c>
      <c r="U52" s="9">
        <v>13.888888888888889</v>
      </c>
      <c r="V52" s="24" t="str">
        <f t="shared" ca="1" si="2"/>
        <v>1 ans</v>
      </c>
      <c r="W52" s="29" t="str">
        <f t="shared" si="3"/>
        <v>Dénutrition ou anorexie</v>
      </c>
    </row>
    <row r="53" spans="1:23" ht="21" x14ac:dyDescent="0.35">
      <c r="A53" s="5">
        <v>52</v>
      </c>
      <c r="B53" s="5" t="s">
        <v>11</v>
      </c>
      <c r="C53" s="5" t="s">
        <v>12</v>
      </c>
      <c r="D53" s="22" t="s">
        <v>179</v>
      </c>
      <c r="E53" s="5">
        <v>145</v>
      </c>
      <c r="F53" s="5">
        <v>42</v>
      </c>
      <c r="G53" s="5" t="s">
        <v>16</v>
      </c>
      <c r="H53" s="5" t="s">
        <v>16</v>
      </c>
      <c r="I53" s="5">
        <v>22</v>
      </c>
      <c r="J53" s="5" t="b">
        <v>0</v>
      </c>
      <c r="K53" s="5" t="b">
        <v>1</v>
      </c>
      <c r="L53" s="5" t="s">
        <v>61</v>
      </c>
      <c r="M53" s="5" t="s">
        <v>157</v>
      </c>
      <c r="N53" s="23" t="s">
        <v>180</v>
      </c>
      <c r="O53" s="24" t="s">
        <v>181</v>
      </c>
      <c r="P53" s="25" t="s">
        <v>29</v>
      </c>
      <c r="Q53" s="5" t="s">
        <v>30</v>
      </c>
      <c r="R53" s="5" t="s">
        <v>33</v>
      </c>
      <c r="S53" s="5" t="s">
        <v>36</v>
      </c>
      <c r="T53" s="5" t="s">
        <v>42</v>
      </c>
      <c r="U53" s="9">
        <v>19.976218787158146</v>
      </c>
      <c r="V53" s="24" t="str">
        <f t="shared" ca="1" si="2"/>
        <v>13 ans</v>
      </c>
      <c r="W53" s="29" t="str">
        <f t="shared" si="3"/>
        <v>Poids normal</v>
      </c>
    </row>
    <row r="54" spans="1:23" ht="21" x14ac:dyDescent="0.35">
      <c r="A54" s="5">
        <v>53</v>
      </c>
      <c r="B54" s="5" t="s">
        <v>11</v>
      </c>
      <c r="C54" s="5" t="s">
        <v>12</v>
      </c>
      <c r="D54" s="22" t="s">
        <v>182</v>
      </c>
      <c r="E54" s="5">
        <v>145</v>
      </c>
      <c r="F54" s="5">
        <v>68</v>
      </c>
      <c r="G54" s="5" t="s">
        <v>16</v>
      </c>
      <c r="H54" s="5" t="s">
        <v>14</v>
      </c>
      <c r="I54" s="5">
        <v>20</v>
      </c>
      <c r="J54" s="5" t="b">
        <v>0</v>
      </c>
      <c r="K54" s="5" t="b">
        <v>1</v>
      </c>
      <c r="L54" s="5" t="s">
        <v>61</v>
      </c>
      <c r="M54" s="5" t="s">
        <v>128</v>
      </c>
      <c r="N54" s="23" t="s">
        <v>180</v>
      </c>
      <c r="O54" s="24" t="s">
        <v>183</v>
      </c>
      <c r="P54" s="25" t="s">
        <v>29</v>
      </c>
      <c r="Q54" s="5" t="s">
        <v>30</v>
      </c>
      <c r="R54" s="5" t="s">
        <v>34</v>
      </c>
      <c r="S54" s="5" t="s">
        <v>36</v>
      </c>
      <c r="T54" s="5" t="s">
        <v>42</v>
      </c>
      <c r="U54" s="9">
        <v>32.342449464922709</v>
      </c>
      <c r="V54" s="24" t="str">
        <f t="shared" ca="1" si="2"/>
        <v>19 ans</v>
      </c>
      <c r="W54" s="29" t="str">
        <f t="shared" si="3"/>
        <v>Obesite moderee</v>
      </c>
    </row>
    <row r="55" spans="1:23" ht="21" x14ac:dyDescent="0.35">
      <c r="A55" s="5">
        <v>54</v>
      </c>
      <c r="B55" s="5" t="s">
        <v>17</v>
      </c>
      <c r="C55" s="5" t="s">
        <v>13</v>
      </c>
      <c r="D55" s="22" t="s">
        <v>184</v>
      </c>
      <c r="E55" s="5">
        <v>172</v>
      </c>
      <c r="F55" s="5">
        <v>104</v>
      </c>
      <c r="G55" s="5" t="s">
        <v>54</v>
      </c>
      <c r="H55" s="5" t="s">
        <v>14</v>
      </c>
      <c r="I55" s="5">
        <v>0</v>
      </c>
      <c r="J55" s="5" t="b">
        <v>0</v>
      </c>
      <c r="K55" s="5" t="b">
        <v>1</v>
      </c>
      <c r="L55" s="5" t="s">
        <v>185</v>
      </c>
      <c r="M55" s="5" t="s">
        <v>128</v>
      </c>
      <c r="N55" s="23" t="s">
        <v>186</v>
      </c>
      <c r="O55" s="23">
        <v>43498</v>
      </c>
      <c r="P55" s="25" t="s">
        <v>27</v>
      </c>
      <c r="Q55" s="5" t="s">
        <v>31</v>
      </c>
      <c r="R55" s="5" t="s">
        <v>35</v>
      </c>
      <c r="S55" s="5" t="s">
        <v>36</v>
      </c>
      <c r="T55" s="5" t="s">
        <v>42</v>
      </c>
      <c r="U55" s="9">
        <v>35.154137371552196</v>
      </c>
      <c r="V55" s="24" t="str">
        <f t="shared" ca="1" si="2"/>
        <v>10 ans</v>
      </c>
      <c r="W55" s="29" t="str">
        <f t="shared" si="3"/>
        <v>Obesite severe</v>
      </c>
    </row>
    <row r="56" spans="1:23" ht="21" x14ac:dyDescent="0.35">
      <c r="A56" s="5">
        <v>55</v>
      </c>
      <c r="B56" s="5" t="s">
        <v>17</v>
      </c>
      <c r="C56" s="5" t="s">
        <v>13</v>
      </c>
      <c r="D56" s="22" t="s">
        <v>187</v>
      </c>
      <c r="E56" s="5">
        <v>192</v>
      </c>
      <c r="F56" s="5">
        <v>110</v>
      </c>
      <c r="G56" s="5" t="s">
        <v>54</v>
      </c>
      <c r="H56" s="5" t="s">
        <v>16</v>
      </c>
      <c r="I56" s="5">
        <v>30</v>
      </c>
      <c r="J56" s="5" t="b">
        <v>0</v>
      </c>
      <c r="K56" s="5" t="b">
        <v>1</v>
      </c>
      <c r="L56" s="5" t="s">
        <v>188</v>
      </c>
      <c r="M56" s="5" t="s">
        <v>189</v>
      </c>
      <c r="N56" s="23">
        <v>43586</v>
      </c>
      <c r="O56" s="23">
        <v>43800</v>
      </c>
      <c r="P56" s="25" t="s">
        <v>28</v>
      </c>
      <c r="Q56" s="5" t="s">
        <v>31</v>
      </c>
      <c r="R56" s="5" t="s">
        <v>35</v>
      </c>
      <c r="S56" s="5" t="s">
        <v>36</v>
      </c>
      <c r="T56" s="5" t="s">
        <v>43</v>
      </c>
      <c r="U56" s="9">
        <v>29.839409722222221</v>
      </c>
      <c r="V56" s="24" t="str">
        <f t="shared" ca="1" si="2"/>
        <v>21 ans</v>
      </c>
      <c r="W56" s="29" t="str">
        <f t="shared" si="3"/>
        <v>Surpoids</v>
      </c>
    </row>
    <row r="57" spans="1:23" ht="21" x14ac:dyDescent="0.35">
      <c r="A57" s="5">
        <v>56</v>
      </c>
      <c r="B57" s="5" t="s">
        <v>11</v>
      </c>
      <c r="C57" s="5" t="s">
        <v>12</v>
      </c>
      <c r="D57" s="22" t="s">
        <v>190</v>
      </c>
      <c r="E57" s="5">
        <v>192</v>
      </c>
      <c r="F57" s="5">
        <v>89</v>
      </c>
      <c r="G57" s="5" t="s">
        <v>15</v>
      </c>
      <c r="H57" s="5" t="s">
        <v>14</v>
      </c>
      <c r="I57" s="5">
        <v>25</v>
      </c>
      <c r="J57" s="5" t="b">
        <v>0</v>
      </c>
      <c r="K57" s="5" t="b">
        <v>1</v>
      </c>
      <c r="L57" s="5" t="s">
        <v>79</v>
      </c>
      <c r="M57" s="5" t="s">
        <v>141</v>
      </c>
      <c r="N57" s="23" t="s">
        <v>191</v>
      </c>
      <c r="O57" s="23">
        <v>43801</v>
      </c>
      <c r="P57" s="25" t="s">
        <v>29</v>
      </c>
      <c r="Q57" s="5" t="s">
        <v>30</v>
      </c>
      <c r="R57" s="5" t="s">
        <v>33</v>
      </c>
      <c r="S57" s="5" t="s">
        <v>36</v>
      </c>
      <c r="T57" s="5" t="s">
        <v>42</v>
      </c>
      <c r="U57" s="9">
        <v>24.142795138888889</v>
      </c>
      <c r="V57" s="24" t="str">
        <f t="shared" ca="1" si="2"/>
        <v>42 ans</v>
      </c>
      <c r="W57" s="29" t="str">
        <f t="shared" si="3"/>
        <v>Poids normal</v>
      </c>
    </row>
    <row r="58" spans="1:23" ht="21" x14ac:dyDescent="0.35">
      <c r="A58" s="5">
        <v>57</v>
      </c>
      <c r="B58" s="5" t="s">
        <v>17</v>
      </c>
      <c r="C58" s="5" t="s">
        <v>13</v>
      </c>
      <c r="D58" s="22" t="s">
        <v>192</v>
      </c>
      <c r="E58" s="5">
        <v>162</v>
      </c>
      <c r="F58" s="5">
        <v>93</v>
      </c>
      <c r="G58" s="5" t="s">
        <v>54</v>
      </c>
      <c r="H58" s="5" t="s">
        <v>14</v>
      </c>
      <c r="I58" s="5">
        <v>25</v>
      </c>
      <c r="J58" s="5" t="b">
        <v>0</v>
      </c>
      <c r="K58" s="5" t="b">
        <v>1</v>
      </c>
      <c r="L58" s="5" t="s">
        <v>79</v>
      </c>
      <c r="M58" s="5" t="s">
        <v>141</v>
      </c>
      <c r="N58" s="23" t="s">
        <v>193</v>
      </c>
      <c r="O58" s="24" t="s">
        <v>194</v>
      </c>
      <c r="P58" s="25" t="s">
        <v>29</v>
      </c>
      <c r="Q58" s="5" t="s">
        <v>30</v>
      </c>
      <c r="R58" s="5" t="s">
        <v>33</v>
      </c>
      <c r="S58" s="5" t="s">
        <v>36</v>
      </c>
      <c r="T58" s="5" t="s">
        <v>42</v>
      </c>
      <c r="U58" s="9">
        <v>35.436671239140367</v>
      </c>
      <c r="V58" s="24" t="str">
        <f t="shared" ca="1" si="2"/>
        <v>42 ans</v>
      </c>
      <c r="W58" s="29" t="str">
        <f t="shared" si="3"/>
        <v>Obesite severe</v>
      </c>
    </row>
    <row r="59" spans="1:23" ht="21" x14ac:dyDescent="0.35">
      <c r="A59" s="5">
        <v>58</v>
      </c>
      <c r="B59" s="5" t="s">
        <v>17</v>
      </c>
      <c r="C59" s="5" t="s">
        <v>13</v>
      </c>
      <c r="D59" s="22" t="s">
        <v>195</v>
      </c>
      <c r="E59" s="5">
        <v>162</v>
      </c>
      <c r="F59" s="5">
        <v>93</v>
      </c>
      <c r="G59" s="5" t="s">
        <v>54</v>
      </c>
      <c r="H59" s="5" t="s">
        <v>14</v>
      </c>
      <c r="I59" s="5">
        <v>25</v>
      </c>
      <c r="J59" s="5" t="b">
        <v>0</v>
      </c>
      <c r="K59" s="5" t="b">
        <v>1</v>
      </c>
      <c r="L59" s="5" t="s">
        <v>79</v>
      </c>
      <c r="M59" s="5" t="s">
        <v>196</v>
      </c>
      <c r="N59" s="23" t="s">
        <v>197</v>
      </c>
      <c r="O59" s="24" t="s">
        <v>198</v>
      </c>
      <c r="P59" s="25" t="s">
        <v>29</v>
      </c>
      <c r="Q59" s="5" t="s">
        <v>30</v>
      </c>
      <c r="R59" s="5" t="s">
        <v>33</v>
      </c>
      <c r="S59" s="5" t="s">
        <v>38</v>
      </c>
      <c r="T59" s="5" t="s">
        <v>42</v>
      </c>
      <c r="U59" s="9">
        <v>35.436671239140367</v>
      </c>
      <c r="V59" s="24" t="str">
        <f t="shared" ca="1" si="2"/>
        <v>62 ans</v>
      </c>
      <c r="W59" s="29" t="str">
        <f t="shared" si="3"/>
        <v>Obesite severe</v>
      </c>
    </row>
    <row r="60" spans="1:23" ht="21" x14ac:dyDescent="0.35">
      <c r="A60" s="5">
        <v>59</v>
      </c>
      <c r="B60" s="5" t="s">
        <v>11</v>
      </c>
      <c r="C60" s="5" t="s">
        <v>13</v>
      </c>
      <c r="D60" s="22" t="s">
        <v>199</v>
      </c>
      <c r="E60" s="5">
        <v>162</v>
      </c>
      <c r="F60" s="5">
        <v>65</v>
      </c>
      <c r="G60" s="5" t="s">
        <v>54</v>
      </c>
      <c r="H60" s="5" t="s">
        <v>14</v>
      </c>
      <c r="I60" s="5">
        <v>0</v>
      </c>
      <c r="J60" s="5" t="b">
        <v>0</v>
      </c>
      <c r="K60" s="5" t="b">
        <v>1</v>
      </c>
      <c r="L60" s="5" t="s">
        <v>79</v>
      </c>
      <c r="M60" s="5" t="s">
        <v>196</v>
      </c>
      <c r="N60" s="23">
        <v>43468</v>
      </c>
      <c r="O60" s="23">
        <v>43469</v>
      </c>
      <c r="P60" s="25" t="s">
        <v>29</v>
      </c>
      <c r="Q60" s="5" t="s">
        <v>30</v>
      </c>
      <c r="R60" s="5" t="s">
        <v>33</v>
      </c>
      <c r="S60" s="5" t="s">
        <v>38</v>
      </c>
      <c r="T60" s="5" t="s">
        <v>42</v>
      </c>
      <c r="U60" s="9">
        <v>24.767565919829291</v>
      </c>
      <c r="V60" s="24" t="str">
        <f t="shared" ca="1" si="2"/>
        <v>28 ans</v>
      </c>
      <c r="W60" s="29" t="str">
        <f t="shared" si="3"/>
        <v>Poids normal</v>
      </c>
    </row>
    <row r="61" spans="1:23" ht="21" x14ac:dyDescent="0.35">
      <c r="A61" s="5">
        <v>60</v>
      </c>
      <c r="B61" s="5" t="s">
        <v>17</v>
      </c>
      <c r="C61" s="5" t="s">
        <v>12</v>
      </c>
      <c r="D61" s="22" t="s">
        <v>199</v>
      </c>
      <c r="E61" s="5">
        <v>162</v>
      </c>
      <c r="F61" s="5">
        <v>65</v>
      </c>
      <c r="G61" s="5" t="s">
        <v>14</v>
      </c>
      <c r="H61" s="5" t="s">
        <v>14</v>
      </c>
      <c r="I61" s="5">
        <v>0</v>
      </c>
      <c r="J61" s="5" t="b">
        <v>0</v>
      </c>
      <c r="K61" s="5" t="b">
        <v>1</v>
      </c>
      <c r="L61" s="5" t="s">
        <v>79</v>
      </c>
      <c r="M61" s="5" t="s">
        <v>196</v>
      </c>
      <c r="N61" s="23">
        <v>43468</v>
      </c>
      <c r="O61" s="23">
        <v>43469</v>
      </c>
      <c r="P61" s="25" t="s">
        <v>29</v>
      </c>
      <c r="Q61" s="5" t="s">
        <v>30</v>
      </c>
      <c r="R61" s="5" t="s">
        <v>33</v>
      </c>
      <c r="S61" s="5" t="s">
        <v>38</v>
      </c>
      <c r="T61" s="5" t="s">
        <v>42</v>
      </c>
      <c r="U61" s="9">
        <v>24.767565919829291</v>
      </c>
      <c r="V61" s="24" t="str">
        <f t="shared" ca="1" si="2"/>
        <v>28 ans</v>
      </c>
      <c r="W61" s="29" t="str">
        <f t="shared" si="3"/>
        <v>Poids normal</v>
      </c>
    </row>
    <row r="62" spans="1:23" ht="21" x14ac:dyDescent="0.35">
      <c r="A62" s="5">
        <v>61</v>
      </c>
      <c r="B62" s="5" t="s">
        <v>11</v>
      </c>
      <c r="C62" s="5" t="s">
        <v>13</v>
      </c>
      <c r="D62" s="22">
        <v>37231</v>
      </c>
      <c r="E62" s="5">
        <v>187</v>
      </c>
      <c r="F62" s="5">
        <v>71</v>
      </c>
      <c r="G62" s="5" t="s">
        <v>54</v>
      </c>
      <c r="H62" s="5" t="s">
        <v>14</v>
      </c>
      <c r="I62" s="5">
        <v>0</v>
      </c>
      <c r="J62" s="5" t="b">
        <v>0</v>
      </c>
      <c r="K62" s="5" t="b">
        <v>1</v>
      </c>
      <c r="L62" s="5" t="s">
        <v>88</v>
      </c>
      <c r="M62" s="5" t="s">
        <v>200</v>
      </c>
      <c r="N62" s="23" t="s">
        <v>201</v>
      </c>
      <c r="O62" s="24" t="s">
        <v>63</v>
      </c>
      <c r="P62" s="25" t="s">
        <v>28</v>
      </c>
      <c r="Q62" s="5" t="s">
        <v>31</v>
      </c>
      <c r="R62" s="5" t="s">
        <v>32</v>
      </c>
      <c r="S62" s="5" t="s">
        <v>36</v>
      </c>
      <c r="T62" s="5" t="s">
        <v>42</v>
      </c>
      <c r="U62" s="9">
        <v>20.303697560696612</v>
      </c>
      <c r="V62" s="24" t="str">
        <f t="shared" ca="1" si="2"/>
        <v>18 ans</v>
      </c>
      <c r="W62" s="29" t="str">
        <f t="shared" si="3"/>
        <v>Poids normal</v>
      </c>
    </row>
    <row r="63" spans="1:23" ht="21" x14ac:dyDescent="0.35">
      <c r="A63" s="5">
        <v>62</v>
      </c>
      <c r="B63" s="5" t="s">
        <v>11</v>
      </c>
      <c r="C63" s="5" t="s">
        <v>13</v>
      </c>
      <c r="D63" s="22">
        <v>37234</v>
      </c>
      <c r="E63" s="5">
        <v>187</v>
      </c>
      <c r="F63" s="5">
        <v>91</v>
      </c>
      <c r="G63" s="5" t="s">
        <v>54</v>
      </c>
      <c r="H63" s="5" t="s">
        <v>16</v>
      </c>
      <c r="I63" s="5">
        <v>20</v>
      </c>
      <c r="J63" s="5" t="b">
        <v>0</v>
      </c>
      <c r="K63" s="5" t="b">
        <v>1</v>
      </c>
      <c r="L63" s="5" t="s">
        <v>88</v>
      </c>
      <c r="M63" s="5" t="s">
        <v>128</v>
      </c>
      <c r="N63" s="23" t="s">
        <v>201</v>
      </c>
      <c r="O63" s="24" t="s">
        <v>63</v>
      </c>
      <c r="P63" s="25" t="s">
        <v>28</v>
      </c>
      <c r="Q63" s="5" t="s">
        <v>31</v>
      </c>
      <c r="R63" s="5" t="s">
        <v>32</v>
      </c>
      <c r="S63" s="5" t="s">
        <v>36</v>
      </c>
      <c r="T63" s="5" t="s">
        <v>42</v>
      </c>
      <c r="U63" s="9">
        <v>26.023048986244955</v>
      </c>
      <c r="V63" s="24" t="str">
        <f t="shared" ca="1" si="2"/>
        <v>18 ans</v>
      </c>
      <c r="W63" s="29" t="str">
        <f t="shared" si="3"/>
        <v>Surpoids</v>
      </c>
    </row>
    <row r="64" spans="1:23" ht="21" x14ac:dyDescent="0.35">
      <c r="A64" s="5">
        <v>63</v>
      </c>
      <c r="B64" s="5" t="s">
        <v>11</v>
      </c>
      <c r="C64" s="5" t="s">
        <v>13</v>
      </c>
      <c r="D64" s="22">
        <v>36138</v>
      </c>
      <c r="E64" s="5">
        <v>187</v>
      </c>
      <c r="F64" s="5">
        <v>91</v>
      </c>
      <c r="G64" s="5" t="s">
        <v>54</v>
      </c>
      <c r="H64" s="5" t="s">
        <v>16</v>
      </c>
      <c r="I64" s="5">
        <v>20</v>
      </c>
      <c r="J64" s="5" t="b">
        <v>0</v>
      </c>
      <c r="K64" s="5" t="b">
        <v>1</v>
      </c>
      <c r="L64" s="5" t="s">
        <v>88</v>
      </c>
      <c r="M64" s="5" t="s">
        <v>128</v>
      </c>
      <c r="N64" s="23" t="s">
        <v>201</v>
      </c>
      <c r="O64" s="24" t="s">
        <v>63</v>
      </c>
      <c r="P64" s="25" t="s">
        <v>28</v>
      </c>
      <c r="Q64" s="5" t="s">
        <v>31</v>
      </c>
      <c r="R64" s="5" t="s">
        <v>32</v>
      </c>
      <c r="S64" s="5" t="s">
        <v>36</v>
      </c>
      <c r="T64" s="5" t="s">
        <v>43</v>
      </c>
      <c r="U64" s="9">
        <v>26.023048986244955</v>
      </c>
      <c r="V64" s="24" t="str">
        <f t="shared" ca="1" si="2"/>
        <v>21 ans</v>
      </c>
      <c r="W64" s="29" t="str">
        <f t="shared" si="3"/>
        <v>Surpoids</v>
      </c>
    </row>
    <row r="65" spans="1:23" ht="21" x14ac:dyDescent="0.35">
      <c r="A65" s="5">
        <v>64</v>
      </c>
      <c r="B65" s="5" t="s">
        <v>11</v>
      </c>
      <c r="C65" s="5" t="s">
        <v>13</v>
      </c>
      <c r="D65" s="22">
        <v>36138</v>
      </c>
      <c r="E65" s="5">
        <v>187</v>
      </c>
      <c r="F65" s="5">
        <v>91</v>
      </c>
      <c r="G65" s="5" t="s">
        <v>54</v>
      </c>
      <c r="H65" s="5" t="s">
        <v>16</v>
      </c>
      <c r="I65" s="5">
        <v>20</v>
      </c>
      <c r="J65" s="5" t="b">
        <v>0</v>
      </c>
      <c r="K65" s="5" t="b">
        <v>1</v>
      </c>
      <c r="L65" s="5" t="s">
        <v>202</v>
      </c>
      <c r="M65" s="5" t="s">
        <v>203</v>
      </c>
      <c r="N65" s="23" t="s">
        <v>201</v>
      </c>
      <c r="O65" s="24" t="s">
        <v>63</v>
      </c>
      <c r="P65" s="25" t="s">
        <v>28</v>
      </c>
      <c r="Q65" s="5" t="s">
        <v>31</v>
      </c>
      <c r="R65" s="5" t="s">
        <v>32</v>
      </c>
      <c r="S65" s="5" t="s">
        <v>36</v>
      </c>
      <c r="T65" s="5" t="s">
        <v>43</v>
      </c>
      <c r="U65" s="9">
        <v>26.023048986244955</v>
      </c>
      <c r="V65" s="24" t="str">
        <f t="shared" ca="1" si="2"/>
        <v>21 ans</v>
      </c>
      <c r="W65" s="29" t="str">
        <f t="shared" si="3"/>
        <v>Surpoids</v>
      </c>
    </row>
    <row r="66" spans="1:23" ht="21" x14ac:dyDescent="0.35">
      <c r="A66" s="5">
        <v>65</v>
      </c>
      <c r="B66" s="5" t="s">
        <v>11</v>
      </c>
      <c r="C66" s="5" t="s">
        <v>12</v>
      </c>
      <c r="D66" s="22">
        <v>36138</v>
      </c>
      <c r="E66" s="5">
        <v>187</v>
      </c>
      <c r="F66" s="5">
        <v>91</v>
      </c>
      <c r="G66" s="5" t="s">
        <v>16</v>
      </c>
      <c r="H66" s="5" t="s">
        <v>16</v>
      </c>
      <c r="I66" s="5">
        <v>20</v>
      </c>
      <c r="J66" s="5" t="b">
        <v>0</v>
      </c>
      <c r="K66" s="5" t="b">
        <v>1</v>
      </c>
      <c r="L66" s="5" t="s">
        <v>202</v>
      </c>
      <c r="M66" s="5" t="s">
        <v>157</v>
      </c>
      <c r="N66" s="23" t="s">
        <v>201</v>
      </c>
      <c r="O66" s="24" t="s">
        <v>63</v>
      </c>
      <c r="P66" s="25" t="s">
        <v>28</v>
      </c>
      <c r="Q66" s="5" t="s">
        <v>31</v>
      </c>
      <c r="R66" s="5" t="s">
        <v>32</v>
      </c>
      <c r="S66" s="5" t="s">
        <v>36</v>
      </c>
      <c r="T66" s="5" t="s">
        <v>45</v>
      </c>
      <c r="U66" s="9">
        <v>26.023048986244955</v>
      </c>
      <c r="V66" s="24" t="str">
        <f t="shared" ref="V66:V101" ca="1" si="4">DATEDIF(D66,TODAY(),"y") &amp; " ans"</f>
        <v>21 ans</v>
      </c>
      <c r="W66" s="29" t="str">
        <f t="shared" ref="W66:W101" si="5">IF(U66&lt;=16.5,"Dénutrition ou anorexie",
IF(AND(U66&gt;16.5,U66&lt;=18.5),"Maigreur",
IF(AND(U66&gt;18.5,U66&lt;=25),"Poids normal",
IF(AND(U66&gt;25,U66&lt;=30),"Surpoids",
IF(AND(U66&gt;30,U66&lt;=35),"Obesite moderee",
IF(AND(U66&gt;35,U66&lt;=40),"Obesite severe","Obésité morbide ou massive"))))))</f>
        <v>Surpoids</v>
      </c>
    </row>
    <row r="67" spans="1:23" ht="21" x14ac:dyDescent="0.35">
      <c r="A67" s="5">
        <v>66</v>
      </c>
      <c r="B67" s="5" t="s">
        <v>11</v>
      </c>
      <c r="C67" s="5" t="s">
        <v>12</v>
      </c>
      <c r="D67" s="22" t="s">
        <v>204</v>
      </c>
      <c r="E67" s="5">
        <v>187</v>
      </c>
      <c r="F67" s="5">
        <v>91</v>
      </c>
      <c r="G67" s="5" t="s">
        <v>16</v>
      </c>
      <c r="H67" s="5" t="s">
        <v>16</v>
      </c>
      <c r="I67" s="5">
        <v>20</v>
      </c>
      <c r="J67" s="5" t="b">
        <v>0</v>
      </c>
      <c r="K67" s="5" t="b">
        <v>1</v>
      </c>
      <c r="L67" s="5" t="s">
        <v>202</v>
      </c>
      <c r="M67" s="5" t="s">
        <v>203</v>
      </c>
      <c r="N67" s="23" t="s">
        <v>201</v>
      </c>
      <c r="O67" s="24" t="s">
        <v>63</v>
      </c>
      <c r="P67" s="25" t="s">
        <v>28</v>
      </c>
      <c r="Q67" s="5" t="s">
        <v>30</v>
      </c>
      <c r="R67" s="5" t="s">
        <v>32</v>
      </c>
      <c r="S67" s="5" t="s">
        <v>41</v>
      </c>
      <c r="T67" s="5" t="s">
        <v>45</v>
      </c>
      <c r="U67" s="9">
        <v>26.023048986244955</v>
      </c>
      <c r="V67" s="24" t="str">
        <f t="shared" ca="1" si="4"/>
        <v>21 ans</v>
      </c>
      <c r="W67" s="29" t="str">
        <f t="shared" si="5"/>
        <v>Surpoids</v>
      </c>
    </row>
    <row r="68" spans="1:23" ht="21" x14ac:dyDescent="0.35">
      <c r="A68" s="5">
        <v>67</v>
      </c>
      <c r="B68" s="5" t="s">
        <v>17</v>
      </c>
      <c r="C68" s="5" t="s">
        <v>12</v>
      </c>
      <c r="D68" s="22" t="s">
        <v>204</v>
      </c>
      <c r="E68" s="5">
        <v>187</v>
      </c>
      <c r="F68" s="5">
        <v>91</v>
      </c>
      <c r="G68" s="5" t="s">
        <v>16</v>
      </c>
      <c r="H68" s="5" t="s">
        <v>16</v>
      </c>
      <c r="I68" s="5">
        <v>20</v>
      </c>
      <c r="J68" s="5" t="b">
        <v>0</v>
      </c>
      <c r="K68" s="5" t="b">
        <v>1</v>
      </c>
      <c r="L68" s="5" t="s">
        <v>120</v>
      </c>
      <c r="M68" s="5" t="s">
        <v>205</v>
      </c>
      <c r="N68" s="23" t="s">
        <v>201</v>
      </c>
      <c r="O68" s="24" t="s">
        <v>63</v>
      </c>
      <c r="P68" s="25" t="s">
        <v>28</v>
      </c>
      <c r="Q68" s="5" t="s">
        <v>30</v>
      </c>
      <c r="R68" s="5" t="s">
        <v>32</v>
      </c>
      <c r="S68" s="5" t="s">
        <v>41</v>
      </c>
      <c r="T68" s="5" t="s">
        <v>45</v>
      </c>
      <c r="U68" s="9">
        <v>26.023048986244955</v>
      </c>
      <c r="V68" s="24" t="str">
        <f t="shared" ca="1" si="4"/>
        <v>21 ans</v>
      </c>
      <c r="W68" s="29" t="str">
        <f t="shared" si="5"/>
        <v>Surpoids</v>
      </c>
    </row>
    <row r="69" spans="1:23" ht="21" x14ac:dyDescent="0.35">
      <c r="A69" s="5">
        <v>68</v>
      </c>
      <c r="B69" s="5" t="s">
        <v>17</v>
      </c>
      <c r="C69" s="5" t="s">
        <v>12</v>
      </c>
      <c r="D69" s="22" t="s">
        <v>204</v>
      </c>
      <c r="E69" s="5">
        <v>187</v>
      </c>
      <c r="F69" s="5">
        <v>91</v>
      </c>
      <c r="G69" s="5" t="s">
        <v>16</v>
      </c>
      <c r="H69" s="5" t="s">
        <v>16</v>
      </c>
      <c r="I69" s="5">
        <v>20</v>
      </c>
      <c r="J69" s="5" t="b">
        <v>0</v>
      </c>
      <c r="K69" s="5" t="b">
        <v>1</v>
      </c>
      <c r="L69" s="5" t="s">
        <v>206</v>
      </c>
      <c r="M69" s="5" t="s">
        <v>207</v>
      </c>
      <c r="N69" s="23" t="s">
        <v>201</v>
      </c>
      <c r="O69" s="24" t="s">
        <v>63</v>
      </c>
      <c r="P69" s="25" t="s">
        <v>28</v>
      </c>
      <c r="Q69" s="5" t="s">
        <v>30</v>
      </c>
      <c r="R69" s="5" t="s">
        <v>32</v>
      </c>
      <c r="S69" s="5" t="s">
        <v>41</v>
      </c>
      <c r="T69" s="5" t="s">
        <v>45</v>
      </c>
      <c r="U69" s="9">
        <v>26.023048986244955</v>
      </c>
      <c r="V69" s="24" t="str">
        <f t="shared" ca="1" si="4"/>
        <v>21 ans</v>
      </c>
      <c r="W69" s="29" t="str">
        <f t="shared" si="5"/>
        <v>Surpoids</v>
      </c>
    </row>
    <row r="70" spans="1:23" ht="21" x14ac:dyDescent="0.35">
      <c r="A70" s="5">
        <v>69</v>
      </c>
      <c r="B70" s="5" t="s">
        <v>17</v>
      </c>
      <c r="C70" s="5" t="s">
        <v>12</v>
      </c>
      <c r="D70" s="22" t="s">
        <v>204</v>
      </c>
      <c r="E70" s="5">
        <v>187</v>
      </c>
      <c r="F70" s="5">
        <v>91</v>
      </c>
      <c r="G70" s="5" t="s">
        <v>16</v>
      </c>
      <c r="H70" s="5" t="s">
        <v>14</v>
      </c>
      <c r="I70" s="5">
        <v>20</v>
      </c>
      <c r="J70" s="5" t="b">
        <v>0</v>
      </c>
      <c r="K70" s="5" t="b">
        <v>1</v>
      </c>
      <c r="L70" s="5" t="s">
        <v>120</v>
      </c>
      <c r="M70" s="5" t="s">
        <v>205</v>
      </c>
      <c r="N70" s="23" t="s">
        <v>208</v>
      </c>
      <c r="O70" s="24" t="s">
        <v>71</v>
      </c>
      <c r="P70" s="25" t="s">
        <v>28</v>
      </c>
      <c r="Q70" s="5" t="s">
        <v>30</v>
      </c>
      <c r="R70" s="5" t="s">
        <v>32</v>
      </c>
      <c r="S70" s="5" t="s">
        <v>41</v>
      </c>
      <c r="T70" s="5" t="s">
        <v>45</v>
      </c>
      <c r="U70" s="9">
        <v>26.023048986244955</v>
      </c>
      <c r="V70" s="24" t="str">
        <f t="shared" ca="1" si="4"/>
        <v>21 ans</v>
      </c>
      <c r="W70" s="29" t="str">
        <f t="shared" si="5"/>
        <v>Surpoids</v>
      </c>
    </row>
    <row r="71" spans="1:23" ht="21" x14ac:dyDescent="0.35">
      <c r="A71" s="5">
        <v>70</v>
      </c>
      <c r="B71" s="5" t="s">
        <v>17</v>
      </c>
      <c r="C71" s="5" t="s">
        <v>12</v>
      </c>
      <c r="D71" s="22" t="s">
        <v>209</v>
      </c>
      <c r="E71" s="5">
        <v>187</v>
      </c>
      <c r="F71" s="5">
        <v>61</v>
      </c>
      <c r="G71" s="5" t="s">
        <v>16</v>
      </c>
      <c r="H71" s="5" t="s">
        <v>14</v>
      </c>
      <c r="I71" s="5">
        <v>20</v>
      </c>
      <c r="J71" s="5" t="b">
        <v>0</v>
      </c>
      <c r="K71" s="5" t="b">
        <v>1</v>
      </c>
      <c r="L71" s="5" t="s">
        <v>120</v>
      </c>
      <c r="M71" s="5" t="s">
        <v>205</v>
      </c>
      <c r="N71" s="23" t="s">
        <v>208</v>
      </c>
      <c r="O71" s="24" t="s">
        <v>71</v>
      </c>
      <c r="P71" s="25" t="s">
        <v>28</v>
      </c>
      <c r="Q71" s="5" t="s">
        <v>30</v>
      </c>
      <c r="R71" s="5" t="s">
        <v>33</v>
      </c>
      <c r="S71" s="5" t="s">
        <v>41</v>
      </c>
      <c r="T71" s="5" t="s">
        <v>45</v>
      </c>
      <c r="U71" s="9">
        <v>17.444021847922443</v>
      </c>
      <c r="V71" s="24" t="str">
        <f t="shared" ca="1" si="4"/>
        <v>68 ans</v>
      </c>
      <c r="W71" s="29" t="str">
        <f t="shared" si="5"/>
        <v>Maigreur</v>
      </c>
    </row>
    <row r="72" spans="1:23" ht="21" x14ac:dyDescent="0.35">
      <c r="A72" s="5">
        <v>71</v>
      </c>
      <c r="B72" s="5" t="s">
        <v>17</v>
      </c>
      <c r="C72" s="5" t="s">
        <v>12</v>
      </c>
      <c r="D72" s="22" t="s">
        <v>209</v>
      </c>
      <c r="E72" s="5">
        <v>187</v>
      </c>
      <c r="F72" s="5">
        <v>61</v>
      </c>
      <c r="G72" s="5" t="s">
        <v>16</v>
      </c>
      <c r="H72" s="5" t="s">
        <v>14</v>
      </c>
      <c r="I72" s="5">
        <v>20</v>
      </c>
      <c r="J72" s="5" t="b">
        <v>0</v>
      </c>
      <c r="K72" s="5" t="b">
        <v>1</v>
      </c>
      <c r="L72" s="5" t="s">
        <v>120</v>
      </c>
      <c r="M72" s="5" t="s">
        <v>205</v>
      </c>
      <c r="N72" s="23" t="s">
        <v>208</v>
      </c>
      <c r="O72" s="24" t="s">
        <v>71</v>
      </c>
      <c r="P72" s="25" t="s">
        <v>28</v>
      </c>
      <c r="Q72" s="5" t="s">
        <v>30</v>
      </c>
      <c r="R72" s="5" t="s">
        <v>33</v>
      </c>
      <c r="S72" s="5" t="s">
        <v>41</v>
      </c>
      <c r="T72" s="5" t="s">
        <v>45</v>
      </c>
      <c r="U72" s="9">
        <v>17.444021847922443</v>
      </c>
      <c r="V72" s="24" t="str">
        <f t="shared" ca="1" si="4"/>
        <v>68 ans</v>
      </c>
      <c r="W72" s="29" t="str">
        <f t="shared" si="5"/>
        <v>Maigreur</v>
      </c>
    </row>
    <row r="73" spans="1:23" ht="21" x14ac:dyDescent="0.35">
      <c r="A73" s="5">
        <v>72</v>
      </c>
      <c r="B73" s="5" t="s">
        <v>17</v>
      </c>
      <c r="C73" s="5" t="s">
        <v>12</v>
      </c>
      <c r="D73" s="22" t="s">
        <v>210</v>
      </c>
      <c r="E73" s="5">
        <v>187</v>
      </c>
      <c r="F73" s="5">
        <v>61</v>
      </c>
      <c r="G73" s="5" t="s">
        <v>14</v>
      </c>
      <c r="H73" s="5" t="s">
        <v>14</v>
      </c>
      <c r="I73" s="5">
        <v>20</v>
      </c>
      <c r="J73" s="5" t="b">
        <v>0</v>
      </c>
      <c r="K73" s="5" t="b">
        <v>1</v>
      </c>
      <c r="L73" s="5" t="s">
        <v>123</v>
      </c>
      <c r="M73" s="5" t="s">
        <v>211</v>
      </c>
      <c r="N73" s="23" t="s">
        <v>208</v>
      </c>
      <c r="O73" s="24" t="s">
        <v>71</v>
      </c>
      <c r="P73" s="25" t="s">
        <v>28</v>
      </c>
      <c r="Q73" s="5" t="s">
        <v>30</v>
      </c>
      <c r="R73" s="5" t="s">
        <v>32</v>
      </c>
      <c r="S73" s="5" t="s">
        <v>41</v>
      </c>
      <c r="T73" s="5" t="s">
        <v>43</v>
      </c>
      <c r="U73" s="9">
        <v>17.444021847922443</v>
      </c>
      <c r="V73" s="24" t="str">
        <f t="shared" ca="1" si="4"/>
        <v>33 ans</v>
      </c>
      <c r="W73" s="29" t="str">
        <f t="shared" si="5"/>
        <v>Maigreur</v>
      </c>
    </row>
    <row r="74" spans="1:23" ht="21" x14ac:dyDescent="0.35">
      <c r="A74" s="5">
        <v>73</v>
      </c>
      <c r="B74" s="5" t="s">
        <v>17</v>
      </c>
      <c r="C74" s="5" t="s">
        <v>12</v>
      </c>
      <c r="D74" s="22" t="s">
        <v>210</v>
      </c>
      <c r="E74" s="5">
        <v>195</v>
      </c>
      <c r="F74" s="5">
        <v>61</v>
      </c>
      <c r="G74" s="5" t="s">
        <v>14</v>
      </c>
      <c r="H74" s="5" t="s">
        <v>14</v>
      </c>
      <c r="I74" s="5">
        <v>26</v>
      </c>
      <c r="J74" s="5" t="b">
        <v>0</v>
      </c>
      <c r="K74" s="5" t="b">
        <v>1</v>
      </c>
      <c r="L74" s="5" t="s">
        <v>212</v>
      </c>
      <c r="M74" s="5" t="s">
        <v>211</v>
      </c>
      <c r="N74" s="23" t="s">
        <v>208</v>
      </c>
      <c r="O74" s="24" t="s">
        <v>180</v>
      </c>
      <c r="P74" s="25" t="s">
        <v>28</v>
      </c>
      <c r="Q74" s="5" t="s">
        <v>30</v>
      </c>
      <c r="R74" s="5" t="s">
        <v>32</v>
      </c>
      <c r="S74" s="5" t="s">
        <v>41</v>
      </c>
      <c r="T74" s="5" t="s">
        <v>43</v>
      </c>
      <c r="U74" s="9">
        <v>16.042077580539122</v>
      </c>
      <c r="V74" s="24" t="str">
        <f t="shared" ca="1" si="4"/>
        <v>33 ans</v>
      </c>
      <c r="W74" s="29" t="str">
        <f t="shared" si="5"/>
        <v>Dénutrition ou anorexie</v>
      </c>
    </row>
    <row r="75" spans="1:23" ht="21" x14ac:dyDescent="0.35">
      <c r="A75" s="5">
        <v>74</v>
      </c>
      <c r="B75" s="5" t="s">
        <v>11</v>
      </c>
      <c r="C75" s="5" t="s">
        <v>13</v>
      </c>
      <c r="D75" s="22" t="s">
        <v>213</v>
      </c>
      <c r="E75" s="5">
        <v>195</v>
      </c>
      <c r="F75" s="5">
        <v>87</v>
      </c>
      <c r="G75" s="5" t="s">
        <v>54</v>
      </c>
      <c r="H75" s="5" t="s">
        <v>14</v>
      </c>
      <c r="I75" s="5">
        <v>26</v>
      </c>
      <c r="J75" s="5" t="b">
        <v>1</v>
      </c>
      <c r="K75" s="5" t="b">
        <v>1</v>
      </c>
      <c r="L75" s="5" t="s">
        <v>214</v>
      </c>
      <c r="M75" s="5" t="s">
        <v>211</v>
      </c>
      <c r="N75" s="23" t="s">
        <v>215</v>
      </c>
      <c r="O75" s="24" t="s">
        <v>216</v>
      </c>
      <c r="P75" s="25" t="s">
        <v>28</v>
      </c>
      <c r="Q75" s="5" t="s">
        <v>31</v>
      </c>
      <c r="R75" s="5" t="s">
        <v>32</v>
      </c>
      <c r="S75" s="5" t="s">
        <v>37</v>
      </c>
      <c r="T75" s="5" t="s">
        <v>43</v>
      </c>
      <c r="U75" s="9">
        <v>22.87968441814596</v>
      </c>
      <c r="V75" s="24" t="str">
        <f t="shared" ca="1" si="4"/>
        <v>26 ans</v>
      </c>
      <c r="W75" s="29" t="str">
        <f t="shared" si="5"/>
        <v>Poids normal</v>
      </c>
    </row>
    <row r="76" spans="1:23" ht="21" x14ac:dyDescent="0.35">
      <c r="A76" s="5">
        <v>75</v>
      </c>
      <c r="B76" s="5" t="s">
        <v>11</v>
      </c>
      <c r="C76" s="5" t="s">
        <v>12</v>
      </c>
      <c r="D76" s="22" t="s">
        <v>217</v>
      </c>
      <c r="E76" s="5">
        <v>195</v>
      </c>
      <c r="F76" s="5">
        <v>87</v>
      </c>
      <c r="G76" s="5" t="s">
        <v>16</v>
      </c>
      <c r="H76" s="5" t="s">
        <v>14</v>
      </c>
      <c r="I76" s="5">
        <v>26</v>
      </c>
      <c r="J76" s="5" t="b">
        <v>1</v>
      </c>
      <c r="K76" s="5" t="b">
        <v>1</v>
      </c>
      <c r="L76" s="5" t="s">
        <v>212</v>
      </c>
      <c r="M76" s="5" t="s">
        <v>211</v>
      </c>
      <c r="N76" s="23" t="s">
        <v>218</v>
      </c>
      <c r="O76" s="24" t="s">
        <v>216</v>
      </c>
      <c r="P76" s="25" t="s">
        <v>28</v>
      </c>
      <c r="Q76" s="5" t="s">
        <v>31</v>
      </c>
      <c r="R76" s="5" t="s">
        <v>32</v>
      </c>
      <c r="S76" s="5" t="s">
        <v>37</v>
      </c>
      <c r="T76" s="5" t="s">
        <v>43</v>
      </c>
      <c r="U76" s="9">
        <v>22.87968441814596</v>
      </c>
      <c r="V76" s="24" t="str">
        <f t="shared" ca="1" si="4"/>
        <v>29 ans</v>
      </c>
      <c r="W76" s="29" t="str">
        <f t="shared" si="5"/>
        <v>Poids normal</v>
      </c>
    </row>
    <row r="77" spans="1:23" ht="21" x14ac:dyDescent="0.35">
      <c r="A77" s="5">
        <v>76</v>
      </c>
      <c r="B77" s="5" t="s">
        <v>11</v>
      </c>
      <c r="C77" s="5" t="s">
        <v>12</v>
      </c>
      <c r="D77" s="22" t="s">
        <v>217</v>
      </c>
      <c r="E77" s="5">
        <v>195</v>
      </c>
      <c r="F77" s="5">
        <v>87</v>
      </c>
      <c r="G77" s="5" t="s">
        <v>16</v>
      </c>
      <c r="H77" s="5" t="s">
        <v>14</v>
      </c>
      <c r="I77" s="5">
        <v>26</v>
      </c>
      <c r="J77" s="5" t="b">
        <v>1</v>
      </c>
      <c r="K77" s="5" t="b">
        <v>1</v>
      </c>
      <c r="L77" s="5" t="s">
        <v>138</v>
      </c>
      <c r="M77" s="5" t="s">
        <v>207</v>
      </c>
      <c r="N77" s="23" t="s">
        <v>215</v>
      </c>
      <c r="O77" s="24" t="s">
        <v>216</v>
      </c>
      <c r="P77" s="25" t="s">
        <v>29</v>
      </c>
      <c r="Q77" s="5" t="s">
        <v>31</v>
      </c>
      <c r="R77" s="5" t="s">
        <v>33</v>
      </c>
      <c r="S77" s="5" t="s">
        <v>38</v>
      </c>
      <c r="T77" s="5" t="s">
        <v>45</v>
      </c>
      <c r="U77" s="9">
        <v>22.87968441814596</v>
      </c>
      <c r="V77" s="24" t="str">
        <f t="shared" ca="1" si="4"/>
        <v>29 ans</v>
      </c>
      <c r="W77" s="29" t="str">
        <f t="shared" si="5"/>
        <v>Poids normal</v>
      </c>
    </row>
    <row r="78" spans="1:23" ht="21" x14ac:dyDescent="0.35">
      <c r="A78" s="5">
        <v>77</v>
      </c>
      <c r="B78" s="5" t="s">
        <v>11</v>
      </c>
      <c r="C78" s="5" t="s">
        <v>12</v>
      </c>
      <c r="D78" s="22" t="s">
        <v>217</v>
      </c>
      <c r="E78" s="5">
        <v>156</v>
      </c>
      <c r="F78" s="5">
        <v>87</v>
      </c>
      <c r="G78" s="5" t="s">
        <v>16</v>
      </c>
      <c r="H78" s="5" t="s">
        <v>14</v>
      </c>
      <c r="I78" s="5">
        <v>0</v>
      </c>
      <c r="J78" s="5" t="b">
        <v>1</v>
      </c>
      <c r="K78" s="5" t="b">
        <v>1</v>
      </c>
      <c r="L78" s="5" t="s">
        <v>88</v>
      </c>
      <c r="M78" s="5" t="s">
        <v>205</v>
      </c>
      <c r="N78" s="23" t="s">
        <v>219</v>
      </c>
      <c r="O78" s="24" t="s">
        <v>71</v>
      </c>
      <c r="P78" s="25" t="s">
        <v>27</v>
      </c>
      <c r="Q78" s="5" t="s">
        <v>31</v>
      </c>
      <c r="R78" s="5" t="s">
        <v>32</v>
      </c>
      <c r="S78" s="5" t="s">
        <v>36</v>
      </c>
      <c r="T78" s="5" t="s">
        <v>43</v>
      </c>
      <c r="U78" s="9">
        <v>35.749506903353051</v>
      </c>
      <c r="V78" s="24" t="str">
        <f t="shared" ca="1" si="4"/>
        <v>29 ans</v>
      </c>
      <c r="W78" s="29" t="str">
        <f t="shared" si="5"/>
        <v>Obesite severe</v>
      </c>
    </row>
    <row r="79" spans="1:23" ht="21" x14ac:dyDescent="0.35">
      <c r="A79" s="5">
        <v>78</v>
      </c>
      <c r="B79" s="5" t="s">
        <v>11</v>
      </c>
      <c r="C79" s="5" t="s">
        <v>12</v>
      </c>
      <c r="D79" s="22" t="s">
        <v>217</v>
      </c>
      <c r="E79" s="5">
        <v>156</v>
      </c>
      <c r="F79" s="5">
        <v>80</v>
      </c>
      <c r="G79" s="5" t="s">
        <v>14</v>
      </c>
      <c r="H79" s="5" t="s">
        <v>14</v>
      </c>
      <c r="I79" s="5">
        <v>0</v>
      </c>
      <c r="J79" s="5" t="b">
        <v>0</v>
      </c>
      <c r="K79" s="5" t="b">
        <v>1</v>
      </c>
      <c r="L79" s="5" t="s">
        <v>88</v>
      </c>
      <c r="M79" s="5" t="s">
        <v>130</v>
      </c>
      <c r="N79" s="23" t="s">
        <v>219</v>
      </c>
      <c r="O79" s="24" t="s">
        <v>71</v>
      </c>
      <c r="P79" s="25" t="s">
        <v>27</v>
      </c>
      <c r="Q79" s="5" t="s">
        <v>31</v>
      </c>
      <c r="R79" s="5" t="s">
        <v>32</v>
      </c>
      <c r="S79" s="5" t="s">
        <v>36</v>
      </c>
      <c r="T79" s="5" t="s">
        <v>42</v>
      </c>
      <c r="U79" s="9">
        <v>32.873109796186718</v>
      </c>
      <c r="V79" s="24" t="str">
        <f t="shared" ca="1" si="4"/>
        <v>29 ans</v>
      </c>
      <c r="W79" s="29" t="str">
        <f t="shared" si="5"/>
        <v>Obesite moderee</v>
      </c>
    </row>
    <row r="80" spans="1:23" ht="21" x14ac:dyDescent="0.35">
      <c r="A80" s="5">
        <v>79</v>
      </c>
      <c r="B80" s="5" t="s">
        <v>17</v>
      </c>
      <c r="C80" s="5" t="s">
        <v>12</v>
      </c>
      <c r="D80" s="22" t="s">
        <v>217</v>
      </c>
      <c r="E80" s="5">
        <v>156</v>
      </c>
      <c r="F80" s="5">
        <v>80</v>
      </c>
      <c r="G80" s="5" t="s">
        <v>16</v>
      </c>
      <c r="H80" s="5" t="s">
        <v>14</v>
      </c>
      <c r="I80" s="5">
        <v>30</v>
      </c>
      <c r="J80" s="5" t="b">
        <v>0</v>
      </c>
      <c r="K80" s="5" t="b">
        <v>1</v>
      </c>
      <c r="L80" s="5" t="s">
        <v>175</v>
      </c>
      <c r="M80" s="5" t="s">
        <v>157</v>
      </c>
      <c r="N80" s="23">
        <v>43477</v>
      </c>
      <c r="O80" s="23">
        <v>43628</v>
      </c>
      <c r="P80" s="25" t="s">
        <v>27</v>
      </c>
      <c r="Q80" s="5" t="s">
        <v>31</v>
      </c>
      <c r="R80" s="5" t="s">
        <v>32</v>
      </c>
      <c r="S80" s="5" t="s">
        <v>36</v>
      </c>
      <c r="T80" s="5" t="s">
        <v>42</v>
      </c>
      <c r="U80" s="9">
        <v>32.873109796186718</v>
      </c>
      <c r="V80" s="24" t="str">
        <f t="shared" ca="1" si="4"/>
        <v>29 ans</v>
      </c>
      <c r="W80" s="29" t="str">
        <f t="shared" si="5"/>
        <v>Obesite moderee</v>
      </c>
    </row>
    <row r="81" spans="1:23" ht="21" x14ac:dyDescent="0.35">
      <c r="A81" s="5">
        <v>80</v>
      </c>
      <c r="B81" s="5" t="s">
        <v>11</v>
      </c>
      <c r="C81" s="5" t="s">
        <v>12</v>
      </c>
      <c r="D81" s="22" t="s">
        <v>217</v>
      </c>
      <c r="E81" s="5">
        <v>156</v>
      </c>
      <c r="F81" s="5">
        <v>80</v>
      </c>
      <c r="G81" s="5" t="s">
        <v>54</v>
      </c>
      <c r="H81" s="5" t="s">
        <v>16</v>
      </c>
      <c r="I81" s="5">
        <v>30</v>
      </c>
      <c r="J81" s="5" t="b">
        <v>0</v>
      </c>
      <c r="K81" s="5" t="b">
        <v>1</v>
      </c>
      <c r="L81" s="5" t="s">
        <v>188</v>
      </c>
      <c r="M81" s="5" t="s">
        <v>60</v>
      </c>
      <c r="N81" s="23">
        <v>43477</v>
      </c>
      <c r="O81" s="23">
        <v>43628</v>
      </c>
      <c r="P81" s="25" t="s">
        <v>28</v>
      </c>
      <c r="Q81" s="5" t="s">
        <v>31</v>
      </c>
      <c r="R81" s="5" t="s">
        <v>34</v>
      </c>
      <c r="S81" s="5" t="s">
        <v>37</v>
      </c>
      <c r="T81" s="5" t="s">
        <v>45</v>
      </c>
      <c r="U81" s="9">
        <v>32.873109796186718</v>
      </c>
      <c r="V81" s="24" t="str">
        <f t="shared" ca="1" si="4"/>
        <v>29 ans</v>
      </c>
      <c r="W81" s="29" t="str">
        <f t="shared" si="5"/>
        <v>Obesite moderee</v>
      </c>
    </row>
    <row r="82" spans="1:23" ht="21" x14ac:dyDescent="0.35">
      <c r="A82" s="5">
        <v>81</v>
      </c>
      <c r="B82" s="5" t="s">
        <v>11</v>
      </c>
      <c r="C82" s="5" t="s">
        <v>13</v>
      </c>
      <c r="D82" s="22" t="s">
        <v>217</v>
      </c>
      <c r="E82" s="5">
        <v>156</v>
      </c>
      <c r="F82" s="5">
        <v>56</v>
      </c>
      <c r="G82" s="5" t="s">
        <v>54</v>
      </c>
      <c r="H82" s="5" t="s">
        <v>16</v>
      </c>
      <c r="I82" s="5">
        <v>33</v>
      </c>
      <c r="J82" s="5" t="b">
        <v>0</v>
      </c>
      <c r="K82" s="5" t="b">
        <v>1</v>
      </c>
      <c r="L82" s="5" t="s">
        <v>188</v>
      </c>
      <c r="M82" s="5" t="s">
        <v>103</v>
      </c>
      <c r="N82" s="23">
        <v>43477</v>
      </c>
      <c r="O82" s="23">
        <v>43628</v>
      </c>
      <c r="P82" s="25" t="s">
        <v>27</v>
      </c>
      <c r="Q82" s="5" t="s">
        <v>31</v>
      </c>
      <c r="R82" s="5" t="s">
        <v>34</v>
      </c>
      <c r="S82" s="5" t="s">
        <v>37</v>
      </c>
      <c r="T82" s="5" t="s">
        <v>45</v>
      </c>
      <c r="U82" s="9">
        <v>23.011176857330703</v>
      </c>
      <c r="V82" s="24" t="str">
        <f t="shared" ca="1" si="4"/>
        <v>29 ans</v>
      </c>
      <c r="W82" s="29" t="str">
        <f t="shared" si="5"/>
        <v>Poids normal</v>
      </c>
    </row>
    <row r="83" spans="1:23" ht="21" x14ac:dyDescent="0.35">
      <c r="A83" s="5">
        <v>82</v>
      </c>
      <c r="B83" s="5" t="s">
        <v>11</v>
      </c>
      <c r="C83" s="5" t="s">
        <v>13</v>
      </c>
      <c r="D83" s="22" t="s">
        <v>220</v>
      </c>
      <c r="E83" s="5">
        <v>176</v>
      </c>
      <c r="F83" s="5">
        <v>40</v>
      </c>
      <c r="G83" s="5" t="s">
        <v>54</v>
      </c>
      <c r="H83" s="5" t="s">
        <v>16</v>
      </c>
      <c r="I83" s="5">
        <v>33</v>
      </c>
      <c r="J83" s="5" t="b">
        <v>0</v>
      </c>
      <c r="K83" s="5" t="b">
        <v>1</v>
      </c>
      <c r="L83" s="5" t="s">
        <v>188</v>
      </c>
      <c r="M83" s="5" t="s">
        <v>103</v>
      </c>
      <c r="N83" s="23">
        <v>43477</v>
      </c>
      <c r="O83" s="23">
        <v>43628</v>
      </c>
      <c r="P83" s="25" t="s">
        <v>29</v>
      </c>
      <c r="Q83" s="5" t="s">
        <v>31</v>
      </c>
      <c r="R83" s="5" t="s">
        <v>34</v>
      </c>
      <c r="S83" s="5" t="s">
        <v>39</v>
      </c>
      <c r="T83" s="5" t="s">
        <v>45</v>
      </c>
      <c r="U83" s="9">
        <v>12.913223140495868</v>
      </c>
      <c r="V83" s="24" t="str">
        <f t="shared" ca="1" si="4"/>
        <v>14 ans</v>
      </c>
      <c r="W83" s="29" t="str">
        <f t="shared" si="5"/>
        <v>Dénutrition ou anorexie</v>
      </c>
    </row>
    <row r="84" spans="1:23" ht="21" x14ac:dyDescent="0.35">
      <c r="A84" s="5">
        <v>83</v>
      </c>
      <c r="B84" s="5" t="s">
        <v>11</v>
      </c>
      <c r="C84" s="5" t="s">
        <v>13</v>
      </c>
      <c r="D84" s="22" t="s">
        <v>220</v>
      </c>
      <c r="E84" s="5">
        <v>195</v>
      </c>
      <c r="F84" s="5">
        <v>51</v>
      </c>
      <c r="G84" s="5" t="s">
        <v>54</v>
      </c>
      <c r="H84" s="5" t="s">
        <v>16</v>
      </c>
      <c r="I84" s="5">
        <v>3</v>
      </c>
      <c r="J84" s="5" t="b">
        <v>0</v>
      </c>
      <c r="K84" s="5" t="b">
        <v>1</v>
      </c>
      <c r="L84" s="5" t="s">
        <v>120</v>
      </c>
      <c r="M84" s="5" t="s">
        <v>103</v>
      </c>
      <c r="N84" s="23">
        <v>43435</v>
      </c>
      <c r="O84" s="23">
        <v>43440</v>
      </c>
      <c r="P84" s="25" t="s">
        <v>29</v>
      </c>
      <c r="Q84" s="5" t="s">
        <v>31</v>
      </c>
      <c r="R84" s="5" t="s">
        <v>34</v>
      </c>
      <c r="S84" s="5" t="s">
        <v>39</v>
      </c>
      <c r="T84" s="5" t="s">
        <v>45</v>
      </c>
      <c r="U84" s="9">
        <v>13.412228796844182</v>
      </c>
      <c r="V84" s="24" t="str">
        <f t="shared" ca="1" si="4"/>
        <v>14 ans</v>
      </c>
      <c r="W84" s="29" t="str">
        <f t="shared" si="5"/>
        <v>Dénutrition ou anorexie</v>
      </c>
    </row>
    <row r="85" spans="1:23" ht="21" x14ac:dyDescent="0.35">
      <c r="A85" s="5">
        <v>84</v>
      </c>
      <c r="B85" s="5" t="s">
        <v>17</v>
      </c>
      <c r="C85" s="5" t="s">
        <v>12</v>
      </c>
      <c r="D85" s="22" t="s">
        <v>220</v>
      </c>
      <c r="E85" s="5">
        <v>195</v>
      </c>
      <c r="F85" s="5">
        <v>51</v>
      </c>
      <c r="G85" s="5" t="s">
        <v>16</v>
      </c>
      <c r="H85" s="5" t="s">
        <v>14</v>
      </c>
      <c r="I85" s="5">
        <v>23</v>
      </c>
      <c r="J85" s="5" t="b">
        <v>0</v>
      </c>
      <c r="K85" s="5" t="b">
        <v>1</v>
      </c>
      <c r="L85" s="5" t="s">
        <v>120</v>
      </c>
      <c r="M85" s="5" t="s">
        <v>103</v>
      </c>
      <c r="N85" s="23">
        <v>43435</v>
      </c>
      <c r="O85" s="23">
        <v>43800</v>
      </c>
      <c r="P85" s="25" t="s">
        <v>28</v>
      </c>
      <c r="Q85" s="5" t="s">
        <v>31</v>
      </c>
      <c r="R85" s="5" t="s">
        <v>34</v>
      </c>
      <c r="S85" s="5" t="s">
        <v>39</v>
      </c>
      <c r="T85" s="5" t="s">
        <v>45</v>
      </c>
      <c r="U85" s="9">
        <v>13.412228796844182</v>
      </c>
      <c r="V85" s="24" t="str">
        <f t="shared" ca="1" si="4"/>
        <v>14 ans</v>
      </c>
      <c r="W85" s="29" t="str">
        <f t="shared" si="5"/>
        <v>Dénutrition ou anorexie</v>
      </c>
    </row>
    <row r="86" spans="1:23" ht="21" x14ac:dyDescent="0.35">
      <c r="A86" s="5">
        <v>85</v>
      </c>
      <c r="B86" s="5" t="s">
        <v>11</v>
      </c>
      <c r="C86" s="5" t="s">
        <v>13</v>
      </c>
      <c r="D86" s="22" t="s">
        <v>221</v>
      </c>
      <c r="E86" s="5">
        <v>185</v>
      </c>
      <c r="F86" s="5">
        <v>71</v>
      </c>
      <c r="G86" s="5" t="s">
        <v>54</v>
      </c>
      <c r="H86" s="5" t="s">
        <v>14</v>
      </c>
      <c r="I86" s="5">
        <v>2</v>
      </c>
      <c r="J86" s="5" t="b">
        <v>0</v>
      </c>
      <c r="K86" s="5" t="b">
        <v>1</v>
      </c>
      <c r="L86" s="5" t="s">
        <v>83</v>
      </c>
      <c r="M86" s="5" t="s">
        <v>73</v>
      </c>
      <c r="N86" s="23">
        <v>43800</v>
      </c>
      <c r="O86" s="23">
        <v>43800</v>
      </c>
      <c r="P86" s="25" t="s">
        <v>28</v>
      </c>
      <c r="Q86" s="5" t="s">
        <v>31</v>
      </c>
      <c r="R86" s="5" t="s">
        <v>35</v>
      </c>
      <c r="S86" s="5" t="s">
        <v>36</v>
      </c>
      <c r="T86" s="5" t="s">
        <v>45</v>
      </c>
      <c r="U86" s="9">
        <v>20.74506939371804</v>
      </c>
      <c r="V86" s="24" t="str">
        <f t="shared" ca="1" si="4"/>
        <v>4 ans</v>
      </c>
      <c r="W86" s="29" t="str">
        <f t="shared" si="5"/>
        <v>Poids normal</v>
      </c>
    </row>
    <row r="87" spans="1:23" ht="21" x14ac:dyDescent="0.35">
      <c r="A87" s="5">
        <v>86</v>
      </c>
      <c r="B87" s="5" t="s">
        <v>17</v>
      </c>
      <c r="C87" s="5" t="s">
        <v>13</v>
      </c>
      <c r="D87" s="22" t="s">
        <v>222</v>
      </c>
      <c r="E87" s="5">
        <v>155</v>
      </c>
      <c r="F87" s="5">
        <v>71</v>
      </c>
      <c r="G87" s="5" t="s">
        <v>54</v>
      </c>
      <c r="H87" s="5" t="s">
        <v>14</v>
      </c>
      <c r="I87" s="5">
        <v>26</v>
      </c>
      <c r="J87" s="5" t="b">
        <v>1</v>
      </c>
      <c r="K87" s="5" t="b">
        <v>1</v>
      </c>
      <c r="L87" s="5" t="s">
        <v>83</v>
      </c>
      <c r="M87" s="5" t="s">
        <v>73</v>
      </c>
      <c r="N87" s="23">
        <v>43781</v>
      </c>
      <c r="O87" s="24" t="s">
        <v>223</v>
      </c>
      <c r="P87" s="25" t="s">
        <v>28</v>
      </c>
      <c r="Q87" s="5" t="s">
        <v>31</v>
      </c>
      <c r="R87" s="5" t="s">
        <v>35</v>
      </c>
      <c r="S87" s="5" t="s">
        <v>36</v>
      </c>
      <c r="T87" s="5" t="s">
        <v>45</v>
      </c>
      <c r="U87" s="9">
        <v>29.552549427679498</v>
      </c>
      <c r="V87" s="24" t="str">
        <f t="shared" ca="1" si="4"/>
        <v>19 ans</v>
      </c>
      <c r="W87" s="29" t="str">
        <f t="shared" si="5"/>
        <v>Surpoids</v>
      </c>
    </row>
    <row r="88" spans="1:23" ht="21" x14ac:dyDescent="0.35">
      <c r="A88" s="5">
        <v>87</v>
      </c>
      <c r="B88" s="5" t="s">
        <v>11</v>
      </c>
      <c r="C88" s="5" t="s">
        <v>12</v>
      </c>
      <c r="D88" s="22" t="s">
        <v>224</v>
      </c>
      <c r="E88" s="5">
        <v>155</v>
      </c>
      <c r="F88" s="5">
        <v>71</v>
      </c>
      <c r="G88" s="5" t="s">
        <v>16</v>
      </c>
      <c r="H88" s="5" t="s">
        <v>14</v>
      </c>
      <c r="I88" s="5">
        <v>6</v>
      </c>
      <c r="J88" s="5" t="b">
        <v>1</v>
      </c>
      <c r="K88" s="5" t="b">
        <v>1</v>
      </c>
      <c r="L88" s="5" t="s">
        <v>173</v>
      </c>
      <c r="M88" s="5" t="s">
        <v>225</v>
      </c>
      <c r="N88" s="23">
        <v>43781</v>
      </c>
      <c r="O88" s="24" t="s">
        <v>223</v>
      </c>
      <c r="P88" s="25" t="s">
        <v>28</v>
      </c>
      <c r="Q88" s="5" t="s">
        <v>31</v>
      </c>
      <c r="R88" s="5" t="s">
        <v>34</v>
      </c>
      <c r="S88" s="5" t="s">
        <v>36</v>
      </c>
      <c r="T88" s="5" t="s">
        <v>43</v>
      </c>
      <c r="U88" s="9">
        <v>29.552549427679498</v>
      </c>
      <c r="V88" s="24" t="str">
        <f t="shared" ca="1" si="4"/>
        <v>24 ans</v>
      </c>
      <c r="W88" s="29" t="str">
        <f t="shared" si="5"/>
        <v>Surpoids</v>
      </c>
    </row>
    <row r="89" spans="1:23" ht="21" x14ac:dyDescent="0.35">
      <c r="A89" s="5">
        <v>88</v>
      </c>
      <c r="B89" s="5" t="s">
        <v>11</v>
      </c>
      <c r="C89" s="5" t="s">
        <v>12</v>
      </c>
      <c r="D89" s="22" t="s">
        <v>209</v>
      </c>
      <c r="E89" s="5">
        <v>165</v>
      </c>
      <c r="F89" s="5">
        <v>71</v>
      </c>
      <c r="G89" s="5" t="s">
        <v>16</v>
      </c>
      <c r="H89" s="5" t="s">
        <v>14</v>
      </c>
      <c r="I89" s="5">
        <v>6</v>
      </c>
      <c r="J89" s="5" t="b">
        <v>1</v>
      </c>
      <c r="K89" s="5" t="b">
        <v>1</v>
      </c>
      <c r="L89" s="5" t="s">
        <v>79</v>
      </c>
      <c r="M89" s="5" t="s">
        <v>226</v>
      </c>
      <c r="N89" s="23">
        <v>43781</v>
      </c>
      <c r="O89" s="24" t="s">
        <v>227</v>
      </c>
      <c r="P89" s="25" t="s">
        <v>29</v>
      </c>
      <c r="Q89" s="5" t="s">
        <v>31</v>
      </c>
      <c r="R89" s="5" t="s">
        <v>33</v>
      </c>
      <c r="S89" s="5" t="s">
        <v>38</v>
      </c>
      <c r="T89" s="5" t="s">
        <v>43</v>
      </c>
      <c r="U89" s="9">
        <v>26.078971533516992</v>
      </c>
      <c r="V89" s="24" t="str">
        <f t="shared" ca="1" si="4"/>
        <v>68 ans</v>
      </c>
      <c r="W89" s="29" t="str">
        <f t="shared" si="5"/>
        <v>Surpoids</v>
      </c>
    </row>
    <row r="90" spans="1:23" ht="21" x14ac:dyDescent="0.35">
      <c r="A90" s="5">
        <v>89</v>
      </c>
      <c r="B90" s="5" t="s">
        <v>11</v>
      </c>
      <c r="C90" s="5" t="s">
        <v>13</v>
      </c>
      <c r="D90" s="22" t="s">
        <v>228</v>
      </c>
      <c r="E90" s="5">
        <v>165</v>
      </c>
      <c r="F90" s="5">
        <v>81</v>
      </c>
      <c r="G90" s="5" t="s">
        <v>54</v>
      </c>
      <c r="H90" s="5" t="s">
        <v>14</v>
      </c>
      <c r="I90" s="5">
        <v>16</v>
      </c>
      <c r="J90" s="5" t="b">
        <v>1</v>
      </c>
      <c r="K90" s="5" t="b">
        <v>1</v>
      </c>
      <c r="L90" s="5" t="s">
        <v>79</v>
      </c>
      <c r="M90" s="5" t="s">
        <v>229</v>
      </c>
      <c r="N90" s="23">
        <v>43781</v>
      </c>
      <c r="O90" s="24" t="s">
        <v>227</v>
      </c>
      <c r="P90" s="25" t="s">
        <v>27</v>
      </c>
      <c r="Q90" s="5" t="s">
        <v>31</v>
      </c>
      <c r="R90" s="5" t="s">
        <v>35</v>
      </c>
      <c r="S90" s="5" t="s">
        <v>36</v>
      </c>
      <c r="T90" s="5" t="s">
        <v>45</v>
      </c>
      <c r="U90" s="9">
        <v>29.752066115702483</v>
      </c>
      <c r="V90" s="24" t="str">
        <f t="shared" ca="1" si="4"/>
        <v>38 ans</v>
      </c>
      <c r="W90" s="29" t="str">
        <f t="shared" si="5"/>
        <v>Surpoids</v>
      </c>
    </row>
    <row r="91" spans="1:23" ht="21" x14ac:dyDescent="0.35">
      <c r="A91" s="5">
        <v>90</v>
      </c>
      <c r="B91" s="5" t="s">
        <v>17</v>
      </c>
      <c r="C91" s="5" t="s">
        <v>13</v>
      </c>
      <c r="D91" s="22" t="s">
        <v>230</v>
      </c>
      <c r="E91" s="5">
        <v>175</v>
      </c>
      <c r="F91" s="5">
        <v>91</v>
      </c>
      <c r="G91" s="5" t="s">
        <v>54</v>
      </c>
      <c r="H91" s="5" t="s">
        <v>14</v>
      </c>
      <c r="I91" s="5">
        <v>6</v>
      </c>
      <c r="J91" s="5" t="b">
        <v>1</v>
      </c>
      <c r="K91" s="5" t="b">
        <v>1</v>
      </c>
      <c r="L91" s="5" t="s">
        <v>79</v>
      </c>
      <c r="M91" s="5" t="s">
        <v>130</v>
      </c>
      <c r="N91" s="23">
        <v>43781</v>
      </c>
      <c r="O91" s="24" t="s">
        <v>227</v>
      </c>
      <c r="P91" s="25" t="s">
        <v>28</v>
      </c>
      <c r="Q91" s="5" t="s">
        <v>31</v>
      </c>
      <c r="R91" s="5" t="s">
        <v>35</v>
      </c>
      <c r="S91" s="5" t="s">
        <v>36</v>
      </c>
      <c r="T91" s="5" t="s">
        <v>42</v>
      </c>
      <c r="U91" s="9">
        <v>29.714285714285715</v>
      </c>
      <c r="V91" s="24" t="str">
        <f t="shared" ca="1" si="4"/>
        <v>28 ans</v>
      </c>
      <c r="W91" s="29" t="str">
        <f t="shared" si="5"/>
        <v>Surpoids</v>
      </c>
    </row>
    <row r="92" spans="1:23" ht="21" x14ac:dyDescent="0.35">
      <c r="A92" s="5">
        <v>91</v>
      </c>
      <c r="B92" s="5" t="s">
        <v>17</v>
      </c>
      <c r="C92" s="5" t="s">
        <v>13</v>
      </c>
      <c r="D92" s="22" t="s">
        <v>231</v>
      </c>
      <c r="E92" s="5">
        <v>160</v>
      </c>
      <c r="F92" s="5">
        <v>91</v>
      </c>
      <c r="G92" s="5" t="s">
        <v>54</v>
      </c>
      <c r="H92" s="5" t="s">
        <v>14</v>
      </c>
      <c r="I92" s="5">
        <v>0</v>
      </c>
      <c r="J92" s="5" t="b">
        <v>1</v>
      </c>
      <c r="K92" s="5" t="b">
        <v>1</v>
      </c>
      <c r="L92" s="5" t="s">
        <v>98</v>
      </c>
      <c r="M92" s="5" t="s">
        <v>232</v>
      </c>
      <c r="N92" s="23">
        <v>43781</v>
      </c>
      <c r="O92" s="24" t="s">
        <v>227</v>
      </c>
      <c r="P92" s="25" t="s">
        <v>29</v>
      </c>
      <c r="Q92" s="5" t="s">
        <v>30</v>
      </c>
      <c r="R92" s="5" t="s">
        <v>33</v>
      </c>
      <c r="S92" s="5" t="s">
        <v>39</v>
      </c>
      <c r="T92" s="5" t="s">
        <v>42</v>
      </c>
      <c r="U92" s="9">
        <v>35.546874999999993</v>
      </c>
      <c r="V92" s="24" t="str">
        <f t="shared" ca="1" si="4"/>
        <v>28 ans</v>
      </c>
      <c r="W92" s="29" t="str">
        <f t="shared" si="5"/>
        <v>Obesite severe</v>
      </c>
    </row>
    <row r="93" spans="1:23" ht="21" x14ac:dyDescent="0.35">
      <c r="A93" s="5">
        <v>92</v>
      </c>
      <c r="B93" s="5" t="s">
        <v>11</v>
      </c>
      <c r="C93" s="5" t="s">
        <v>13</v>
      </c>
      <c r="D93" s="22" t="s">
        <v>233</v>
      </c>
      <c r="E93" s="5">
        <v>173</v>
      </c>
      <c r="F93" s="5">
        <v>72</v>
      </c>
      <c r="G93" s="5" t="s">
        <v>54</v>
      </c>
      <c r="H93" s="5" t="s">
        <v>14</v>
      </c>
      <c r="I93" s="5">
        <v>0</v>
      </c>
      <c r="J93" s="5" t="b">
        <v>1</v>
      </c>
      <c r="K93" s="5" t="b">
        <v>1</v>
      </c>
      <c r="L93" s="5" t="s">
        <v>98</v>
      </c>
      <c r="M93" s="5" t="s">
        <v>234</v>
      </c>
      <c r="N93" s="23">
        <v>43778</v>
      </c>
      <c r="O93" s="24" t="s">
        <v>235</v>
      </c>
      <c r="P93" s="25" t="s">
        <v>29</v>
      </c>
      <c r="Q93" s="5" t="s">
        <v>30</v>
      </c>
      <c r="R93" s="5" t="s">
        <v>34</v>
      </c>
      <c r="S93" s="5" t="s">
        <v>39</v>
      </c>
      <c r="T93" s="5" t="s">
        <v>43</v>
      </c>
      <c r="U93" s="9">
        <v>24.056934745564501</v>
      </c>
      <c r="V93" s="24" t="str">
        <f t="shared" ca="1" si="4"/>
        <v>70 ans</v>
      </c>
      <c r="W93" s="29" t="str">
        <f t="shared" si="5"/>
        <v>Poids normal</v>
      </c>
    </row>
    <row r="94" spans="1:23" ht="21" x14ac:dyDescent="0.35">
      <c r="A94" s="5">
        <v>93</v>
      </c>
      <c r="B94" s="5" t="s">
        <v>17</v>
      </c>
      <c r="C94" s="5" t="s">
        <v>12</v>
      </c>
      <c r="D94" s="22">
        <v>34464</v>
      </c>
      <c r="E94" s="5">
        <v>187</v>
      </c>
      <c r="F94" s="5">
        <v>59</v>
      </c>
      <c r="G94" s="5" t="s">
        <v>16</v>
      </c>
      <c r="H94" s="5" t="s">
        <v>16</v>
      </c>
      <c r="I94" s="5">
        <v>18</v>
      </c>
      <c r="J94" s="5" t="b">
        <v>1</v>
      </c>
      <c r="K94" s="5" t="b">
        <v>1</v>
      </c>
      <c r="L94" s="5" t="s">
        <v>156</v>
      </c>
      <c r="M94" s="5" t="s">
        <v>236</v>
      </c>
      <c r="N94" s="23" t="s">
        <v>237</v>
      </c>
      <c r="O94" s="24" t="s">
        <v>114</v>
      </c>
      <c r="P94" s="25" t="s">
        <v>28</v>
      </c>
      <c r="Q94" s="5" t="s">
        <v>31</v>
      </c>
      <c r="R94" s="5" t="s">
        <v>35</v>
      </c>
      <c r="S94" s="5" t="s">
        <v>41</v>
      </c>
      <c r="T94" s="5" t="s">
        <v>45</v>
      </c>
      <c r="U94" s="9">
        <v>16.872086705367607</v>
      </c>
      <c r="V94" s="24" t="str">
        <f t="shared" ca="1" si="4"/>
        <v>25 ans</v>
      </c>
      <c r="W94" s="29" t="str">
        <f t="shared" si="5"/>
        <v>Maigreur</v>
      </c>
    </row>
    <row r="95" spans="1:23" ht="21" x14ac:dyDescent="0.35">
      <c r="A95" s="5">
        <v>94</v>
      </c>
      <c r="B95" s="5" t="s">
        <v>11</v>
      </c>
      <c r="C95" s="5" t="s">
        <v>12</v>
      </c>
      <c r="D95" s="22">
        <v>30873</v>
      </c>
      <c r="E95" s="5">
        <v>180</v>
      </c>
      <c r="F95" s="5">
        <v>91</v>
      </c>
      <c r="G95" s="5" t="s">
        <v>16</v>
      </c>
      <c r="H95" s="5" t="s">
        <v>16</v>
      </c>
      <c r="I95" s="5">
        <v>8</v>
      </c>
      <c r="J95" s="5" t="b">
        <v>1</v>
      </c>
      <c r="K95" s="5" t="b">
        <v>1</v>
      </c>
      <c r="L95" s="5" t="s">
        <v>156</v>
      </c>
      <c r="M95" s="5" t="s">
        <v>236</v>
      </c>
      <c r="N95" s="23">
        <v>43742</v>
      </c>
      <c r="O95" s="24" t="s">
        <v>238</v>
      </c>
      <c r="P95" s="25" t="s">
        <v>29</v>
      </c>
      <c r="Q95" s="5" t="s">
        <v>30</v>
      </c>
      <c r="R95" s="5" t="s">
        <v>34</v>
      </c>
      <c r="S95" s="5" t="s">
        <v>39</v>
      </c>
      <c r="T95" s="5" t="s">
        <v>45</v>
      </c>
      <c r="U95" s="9">
        <v>28.086419753086417</v>
      </c>
      <c r="V95" s="24" t="str">
        <f t="shared" ca="1" si="4"/>
        <v>35 ans</v>
      </c>
      <c r="W95" s="29" t="str">
        <f t="shared" si="5"/>
        <v>Surpoids</v>
      </c>
    </row>
    <row r="96" spans="1:23" ht="21" x14ac:dyDescent="0.35">
      <c r="A96" s="5">
        <v>95</v>
      </c>
      <c r="B96" s="5" t="s">
        <v>11</v>
      </c>
      <c r="C96" s="5" t="s">
        <v>12</v>
      </c>
      <c r="D96" s="22">
        <v>36351</v>
      </c>
      <c r="E96" s="5">
        <v>180</v>
      </c>
      <c r="F96" s="5">
        <v>54</v>
      </c>
      <c r="G96" s="5" t="s">
        <v>16</v>
      </c>
      <c r="H96" s="5" t="s">
        <v>16</v>
      </c>
      <c r="I96" s="5">
        <v>0</v>
      </c>
      <c r="J96" s="5" t="b">
        <v>1</v>
      </c>
      <c r="K96" s="5" t="b">
        <v>1</v>
      </c>
      <c r="L96" s="5" t="s">
        <v>91</v>
      </c>
      <c r="M96" s="5" t="s">
        <v>166</v>
      </c>
      <c r="N96" s="23">
        <v>43745</v>
      </c>
      <c r="O96" s="24" t="s">
        <v>239</v>
      </c>
      <c r="P96" s="25" t="s">
        <v>28</v>
      </c>
      <c r="Q96" s="5" t="s">
        <v>31</v>
      </c>
      <c r="R96" s="5" t="s">
        <v>35</v>
      </c>
      <c r="S96" s="5" t="s">
        <v>36</v>
      </c>
      <c r="T96" s="5" t="s">
        <v>42</v>
      </c>
      <c r="U96" s="9">
        <v>16.666666666666664</v>
      </c>
      <c r="V96" s="24" t="str">
        <f t="shared" ca="1" si="4"/>
        <v>20 ans</v>
      </c>
      <c r="W96" s="29" t="str">
        <f t="shared" si="5"/>
        <v>Maigreur</v>
      </c>
    </row>
    <row r="97" spans="1:23" ht="21" x14ac:dyDescent="0.35">
      <c r="A97" s="5">
        <v>96</v>
      </c>
      <c r="B97" s="5" t="s">
        <v>11</v>
      </c>
      <c r="C97" s="5" t="s">
        <v>12</v>
      </c>
      <c r="D97" s="22">
        <v>20646</v>
      </c>
      <c r="E97" s="5">
        <v>180</v>
      </c>
      <c r="F97" s="5">
        <v>84</v>
      </c>
      <c r="G97" s="5" t="s">
        <v>16</v>
      </c>
      <c r="H97" s="5" t="s">
        <v>14</v>
      </c>
      <c r="I97" s="5">
        <v>30</v>
      </c>
      <c r="J97" s="5" t="b">
        <v>1</v>
      </c>
      <c r="K97" s="5" t="b">
        <v>1</v>
      </c>
      <c r="L97" s="5" t="s">
        <v>109</v>
      </c>
      <c r="M97" s="5" t="s">
        <v>166</v>
      </c>
      <c r="N97" s="23">
        <v>43746</v>
      </c>
      <c r="O97" s="23">
        <v>43807</v>
      </c>
      <c r="P97" s="25" t="s">
        <v>27</v>
      </c>
      <c r="Q97" s="5" t="s">
        <v>31</v>
      </c>
      <c r="R97" s="5" t="s">
        <v>35</v>
      </c>
      <c r="S97" s="5" t="s">
        <v>36</v>
      </c>
      <c r="T97" s="5" t="s">
        <v>42</v>
      </c>
      <c r="U97" s="9">
        <v>25.925925925925924</v>
      </c>
      <c r="V97" s="24" t="str">
        <f t="shared" ca="1" si="4"/>
        <v>63 ans</v>
      </c>
      <c r="W97" s="29" t="str">
        <f t="shared" si="5"/>
        <v>Surpoids</v>
      </c>
    </row>
    <row r="98" spans="1:23" ht="21" x14ac:dyDescent="0.35">
      <c r="A98" s="5">
        <v>97</v>
      </c>
      <c r="B98" s="5" t="s">
        <v>11</v>
      </c>
      <c r="C98" s="5" t="s">
        <v>13</v>
      </c>
      <c r="D98" s="22">
        <v>20646</v>
      </c>
      <c r="E98" s="5">
        <v>180</v>
      </c>
      <c r="F98" s="5">
        <v>84</v>
      </c>
      <c r="G98" s="5" t="s">
        <v>54</v>
      </c>
      <c r="H98" s="5" t="s">
        <v>16</v>
      </c>
      <c r="I98" s="5">
        <v>0</v>
      </c>
      <c r="J98" s="5" t="b">
        <v>1</v>
      </c>
      <c r="K98" s="5" t="b">
        <v>1</v>
      </c>
      <c r="L98" s="5" t="s">
        <v>240</v>
      </c>
      <c r="M98" s="5" t="s">
        <v>241</v>
      </c>
      <c r="N98" s="23">
        <v>43777</v>
      </c>
      <c r="O98" s="24" t="s">
        <v>242</v>
      </c>
      <c r="P98" s="25" t="s">
        <v>29</v>
      </c>
      <c r="Q98" s="5" t="s">
        <v>30</v>
      </c>
      <c r="R98" s="5" t="s">
        <v>33</v>
      </c>
      <c r="S98" s="5" t="s">
        <v>38</v>
      </c>
      <c r="T98" s="5" t="s">
        <v>45</v>
      </c>
      <c r="U98" s="9">
        <v>25.925925925925924</v>
      </c>
      <c r="V98" s="24" t="str">
        <f t="shared" ca="1" si="4"/>
        <v>63 ans</v>
      </c>
      <c r="W98" s="29" t="str">
        <f t="shared" si="5"/>
        <v>Surpoids</v>
      </c>
    </row>
    <row r="99" spans="1:23" ht="21" x14ac:dyDescent="0.35">
      <c r="A99" s="5">
        <v>98</v>
      </c>
      <c r="B99" s="5" t="s">
        <v>17</v>
      </c>
      <c r="C99" s="5" t="s">
        <v>13</v>
      </c>
      <c r="D99" s="22">
        <v>35986</v>
      </c>
      <c r="E99" s="5">
        <v>165</v>
      </c>
      <c r="F99" s="5">
        <v>96</v>
      </c>
      <c r="G99" s="5" t="s">
        <v>54</v>
      </c>
      <c r="H99" s="5" t="s">
        <v>16</v>
      </c>
      <c r="I99" s="5">
        <v>3</v>
      </c>
      <c r="J99" s="5" t="b">
        <v>0</v>
      </c>
      <c r="K99" s="5" t="b">
        <v>1</v>
      </c>
      <c r="L99" s="5" t="s">
        <v>102</v>
      </c>
      <c r="M99" s="5" t="s">
        <v>243</v>
      </c>
      <c r="N99" s="23" t="s">
        <v>244</v>
      </c>
      <c r="O99" s="24" t="s">
        <v>93</v>
      </c>
      <c r="P99" s="25" t="s">
        <v>27</v>
      </c>
      <c r="Q99" s="5" t="s">
        <v>31</v>
      </c>
      <c r="R99" s="5" t="s">
        <v>35</v>
      </c>
      <c r="S99" s="5" t="s">
        <v>36</v>
      </c>
      <c r="T99" s="5" t="s">
        <v>42</v>
      </c>
      <c r="U99" s="9">
        <v>35.261707988980717</v>
      </c>
      <c r="V99" s="24" t="str">
        <f t="shared" ca="1" si="4"/>
        <v>21 ans</v>
      </c>
      <c r="W99" s="29" t="str">
        <f t="shared" si="5"/>
        <v>Obesite severe</v>
      </c>
    </row>
    <row r="100" spans="1:23" ht="21" x14ac:dyDescent="0.35">
      <c r="A100" s="5">
        <v>99</v>
      </c>
      <c r="B100" s="5" t="s">
        <v>17</v>
      </c>
      <c r="C100" s="5" t="s">
        <v>13</v>
      </c>
      <c r="D100" s="22">
        <v>35986</v>
      </c>
      <c r="E100" s="5">
        <v>165</v>
      </c>
      <c r="F100" s="5">
        <v>61</v>
      </c>
      <c r="G100" s="5" t="s">
        <v>54</v>
      </c>
      <c r="H100" s="5" t="s">
        <v>16</v>
      </c>
      <c r="I100" s="5">
        <v>34</v>
      </c>
      <c r="J100" s="5" t="b">
        <v>0</v>
      </c>
      <c r="K100" s="5" t="b">
        <v>1</v>
      </c>
      <c r="L100" s="5" t="s">
        <v>144</v>
      </c>
      <c r="M100" s="5" t="s">
        <v>225</v>
      </c>
      <c r="N100" s="23" t="s">
        <v>245</v>
      </c>
      <c r="O100" s="24" t="s">
        <v>125</v>
      </c>
      <c r="P100" s="25" t="s">
        <v>29</v>
      </c>
      <c r="Q100" s="5" t="s">
        <v>30</v>
      </c>
      <c r="R100" s="5" t="s">
        <v>33</v>
      </c>
      <c r="S100" s="5" t="s">
        <v>40</v>
      </c>
      <c r="T100" s="5" t="s">
        <v>42</v>
      </c>
      <c r="U100" s="9">
        <v>22.4058769513315</v>
      </c>
      <c r="V100" s="24" t="str">
        <f t="shared" ca="1" si="4"/>
        <v>21 ans</v>
      </c>
      <c r="W100" s="29" t="str">
        <f t="shared" si="5"/>
        <v>Poids normal</v>
      </c>
    </row>
    <row r="101" spans="1:23" ht="42" x14ac:dyDescent="0.35">
      <c r="A101" s="5">
        <v>100</v>
      </c>
      <c r="B101" s="5" t="s">
        <v>17</v>
      </c>
      <c r="C101" s="5" t="s">
        <v>13</v>
      </c>
      <c r="D101" s="22">
        <v>34160</v>
      </c>
      <c r="E101" s="5">
        <v>117</v>
      </c>
      <c r="F101" s="5">
        <v>116</v>
      </c>
      <c r="G101" s="5" t="s">
        <v>54</v>
      </c>
      <c r="H101" s="5" t="s">
        <v>14</v>
      </c>
      <c r="I101" s="5">
        <v>50</v>
      </c>
      <c r="J101" s="5" t="b">
        <v>1</v>
      </c>
      <c r="K101" s="5" t="b">
        <v>1</v>
      </c>
      <c r="L101" s="5" t="s">
        <v>120</v>
      </c>
      <c r="M101" s="5" t="s">
        <v>121</v>
      </c>
      <c r="N101" s="23" t="s">
        <v>246</v>
      </c>
      <c r="O101" s="24" t="s">
        <v>183</v>
      </c>
      <c r="P101" s="25" t="s">
        <v>28</v>
      </c>
      <c r="Q101" s="5" t="s">
        <v>31</v>
      </c>
      <c r="R101" s="5" t="s">
        <v>35</v>
      </c>
      <c r="S101" s="5" t="s">
        <v>40</v>
      </c>
      <c r="T101" s="5" t="s">
        <v>45</v>
      </c>
      <c r="U101" s="9">
        <v>84.739571919059117</v>
      </c>
      <c r="V101" s="24" t="str">
        <f t="shared" ca="1" si="4"/>
        <v>26 ans</v>
      </c>
      <c r="W101" s="29" t="str">
        <f t="shared" si="5"/>
        <v>Obésité morbide ou massive</v>
      </c>
    </row>
    <row r="102" spans="1:23" x14ac:dyDescent="0.25">
      <c r="A102" s="13"/>
      <c r="B102" s="13"/>
      <c r="C102" s="13"/>
      <c r="D102" s="16"/>
      <c r="E102" s="13"/>
      <c r="F102" s="13"/>
      <c r="G102" s="13"/>
      <c r="H102" s="13"/>
      <c r="I102" s="13"/>
      <c r="J102" s="13"/>
      <c r="K102" s="13"/>
    </row>
    <row r="103" spans="1:23" x14ac:dyDescent="0.25">
      <c r="A103" s="13"/>
      <c r="B103" s="13"/>
      <c r="C103" s="13"/>
      <c r="D103" s="16"/>
      <c r="E103" s="13"/>
      <c r="F103" s="13"/>
      <c r="G103" s="13"/>
      <c r="H103" s="13"/>
      <c r="I103" s="13"/>
      <c r="J103" s="13"/>
      <c r="K103" s="13"/>
    </row>
    <row r="104" spans="1:23" x14ac:dyDescent="0.25">
      <c r="A104" s="13"/>
      <c r="B104" s="13"/>
      <c r="C104" s="13"/>
      <c r="D104" s="16"/>
      <c r="E104" s="13"/>
      <c r="F104" s="13"/>
      <c r="G104" s="13"/>
      <c r="H104" s="13"/>
      <c r="I104" s="13"/>
      <c r="J104" s="13"/>
      <c r="K104" s="13"/>
    </row>
    <row r="105" spans="1:23" x14ac:dyDescent="0.25">
      <c r="A105" s="13"/>
      <c r="B105" s="13"/>
      <c r="C105" s="13"/>
      <c r="D105" s="16"/>
      <c r="E105" s="13"/>
      <c r="F105" s="13"/>
      <c r="G105" s="13"/>
      <c r="H105" s="13"/>
      <c r="I105" s="13"/>
      <c r="J105" s="13"/>
      <c r="K105" s="13"/>
    </row>
    <row r="106" spans="1:23" x14ac:dyDescent="0.25">
      <c r="A106" s="13"/>
      <c r="B106" s="13"/>
      <c r="C106" s="13"/>
      <c r="D106" s="16"/>
      <c r="E106" s="13"/>
      <c r="F106" s="13"/>
      <c r="G106" s="13"/>
      <c r="H106" s="13"/>
      <c r="I106" s="13"/>
      <c r="J106" s="13"/>
      <c r="K106" s="13"/>
    </row>
    <row r="107" spans="1:23" x14ac:dyDescent="0.25">
      <c r="A107" s="13"/>
      <c r="B107" s="13"/>
      <c r="C107" s="13"/>
      <c r="D107" s="16"/>
      <c r="E107" s="13"/>
      <c r="F107" s="13"/>
      <c r="G107" s="13"/>
      <c r="H107" s="13"/>
      <c r="I107" s="13"/>
      <c r="J107" s="13"/>
      <c r="K107" s="13"/>
    </row>
    <row r="108" spans="1:23" x14ac:dyDescent="0.25">
      <c r="A108" s="13"/>
      <c r="B108" s="13"/>
      <c r="C108" s="13"/>
      <c r="D108" s="16"/>
      <c r="E108" s="13"/>
      <c r="F108" s="13"/>
      <c r="G108" s="13"/>
      <c r="H108" s="13"/>
      <c r="I108" s="13"/>
      <c r="J108" s="13"/>
      <c r="K108" s="13"/>
    </row>
    <row r="109" spans="1:23" x14ac:dyDescent="0.25">
      <c r="A109" s="13"/>
      <c r="B109" s="13"/>
      <c r="C109" s="13"/>
      <c r="D109" s="16"/>
      <c r="E109" s="13"/>
      <c r="F109" s="13"/>
      <c r="G109" s="13"/>
      <c r="H109" s="13"/>
      <c r="I109" s="13"/>
      <c r="J109" s="13"/>
      <c r="K109" s="13"/>
    </row>
    <row r="110" spans="1:23" x14ac:dyDescent="0.25">
      <c r="A110" s="13"/>
      <c r="B110" s="13"/>
      <c r="C110" s="13"/>
      <c r="D110" s="16"/>
      <c r="E110" s="13"/>
      <c r="F110" s="13"/>
      <c r="G110" s="13"/>
      <c r="H110" s="13"/>
      <c r="I110" s="13"/>
      <c r="J110" s="13"/>
      <c r="K110" s="13"/>
    </row>
    <row r="111" spans="1:23" x14ac:dyDescent="0.25">
      <c r="A111" s="13"/>
      <c r="B111" s="13"/>
      <c r="C111" s="13"/>
      <c r="D111" s="16"/>
      <c r="E111" s="13"/>
      <c r="F111" s="13"/>
      <c r="G111" s="13"/>
      <c r="H111" s="13"/>
      <c r="I111" s="13"/>
      <c r="J111" s="13"/>
      <c r="K111" s="13"/>
    </row>
    <row r="112" spans="1:23" x14ac:dyDescent="0.25">
      <c r="A112" s="13"/>
      <c r="B112" s="13"/>
      <c r="C112" s="13"/>
      <c r="D112" s="16"/>
      <c r="E112" s="13"/>
      <c r="F112" s="13"/>
      <c r="G112" s="13"/>
      <c r="H112" s="13"/>
      <c r="I112" s="13"/>
      <c r="J112" s="13"/>
      <c r="K112" s="13"/>
    </row>
    <row r="113" spans="1:11" x14ac:dyDescent="0.25">
      <c r="A113" s="13"/>
      <c r="B113" s="13"/>
      <c r="C113" s="13"/>
      <c r="D113" s="16"/>
      <c r="E113" s="13"/>
      <c r="F113" s="13"/>
      <c r="G113" s="13"/>
      <c r="H113" s="13"/>
      <c r="I113" s="13"/>
      <c r="J113" s="13"/>
      <c r="K113" s="13"/>
    </row>
    <row r="114" spans="1:11" x14ac:dyDescent="0.25">
      <c r="A114" s="13"/>
      <c r="B114" s="13"/>
      <c r="C114" s="13"/>
      <c r="D114" s="16"/>
      <c r="E114" s="13"/>
      <c r="F114" s="13"/>
      <c r="G114" s="13"/>
      <c r="H114" s="13"/>
      <c r="I114" s="13"/>
      <c r="J114" s="13"/>
      <c r="K114" s="13"/>
    </row>
    <row r="115" spans="1:11" x14ac:dyDescent="0.25">
      <c r="A115" s="13"/>
      <c r="B115" s="13"/>
      <c r="C115" s="13"/>
      <c r="D115" s="16"/>
      <c r="E115" s="13"/>
      <c r="F115" s="13"/>
      <c r="G115" s="13"/>
      <c r="H115" s="13"/>
      <c r="I115" s="13"/>
      <c r="J115" s="13"/>
      <c r="K115" s="13"/>
    </row>
    <row r="116" spans="1:11" x14ac:dyDescent="0.25">
      <c r="A116" s="13"/>
      <c r="B116" s="13"/>
      <c r="C116" s="13"/>
      <c r="D116" s="16"/>
      <c r="E116" s="13"/>
      <c r="F116" s="13"/>
      <c r="G116" s="13"/>
      <c r="H116" s="13"/>
      <c r="I116" s="13"/>
      <c r="J116" s="13"/>
      <c r="K116" s="13"/>
    </row>
    <row r="117" spans="1:11" x14ac:dyDescent="0.25">
      <c r="A117" s="13"/>
      <c r="B117" s="13"/>
      <c r="C117" s="13"/>
      <c r="D117" s="16"/>
      <c r="E117" s="13"/>
      <c r="F117" s="13"/>
      <c r="G117" s="13"/>
      <c r="H117" s="13"/>
      <c r="I117" s="13"/>
      <c r="J117" s="13"/>
      <c r="K117" s="13"/>
    </row>
    <row r="118" spans="1:11" x14ac:dyDescent="0.25">
      <c r="A118" s="13"/>
      <c r="B118" s="13"/>
      <c r="C118" s="13"/>
      <c r="D118" s="16"/>
      <c r="E118" s="13"/>
      <c r="F118" s="13"/>
      <c r="G118" s="13"/>
      <c r="H118" s="13"/>
      <c r="I118" s="13"/>
      <c r="J118" s="13"/>
      <c r="K118" s="13"/>
    </row>
    <row r="119" spans="1:11" x14ac:dyDescent="0.25">
      <c r="A119" s="13"/>
      <c r="B119" s="13"/>
      <c r="C119" s="13"/>
      <c r="D119" s="16"/>
      <c r="E119" s="13"/>
      <c r="F119" s="13"/>
      <c r="G119" s="13"/>
      <c r="H119" s="13"/>
      <c r="I119" s="13"/>
      <c r="J119" s="13"/>
      <c r="K119" s="13"/>
    </row>
    <row r="120" spans="1:11" x14ac:dyDescent="0.25">
      <c r="A120" s="13"/>
      <c r="B120" s="13"/>
      <c r="C120" s="13"/>
      <c r="D120" s="16"/>
      <c r="E120" s="13"/>
      <c r="F120" s="13"/>
      <c r="G120" s="13"/>
      <c r="H120" s="13"/>
      <c r="I120" s="13"/>
      <c r="J120" s="13"/>
      <c r="K120" s="13"/>
    </row>
    <row r="121" spans="1:11" x14ac:dyDescent="0.25">
      <c r="A121" s="13"/>
      <c r="B121" s="13"/>
      <c r="C121" s="13"/>
      <c r="D121" s="16"/>
      <c r="E121" s="13"/>
      <c r="F121" s="13"/>
      <c r="G121" s="13"/>
      <c r="H121" s="13"/>
      <c r="I121" s="13"/>
      <c r="J121" s="13"/>
      <c r="K121" s="13"/>
    </row>
    <row r="122" spans="1:11" x14ac:dyDescent="0.25">
      <c r="A122" s="13"/>
      <c r="B122" s="13"/>
      <c r="C122" s="13"/>
      <c r="D122" s="16"/>
      <c r="E122" s="13"/>
      <c r="F122" s="13"/>
      <c r="G122" s="13"/>
      <c r="H122" s="13"/>
      <c r="I122" s="13"/>
      <c r="J122" s="13"/>
      <c r="K122" s="13"/>
    </row>
    <row r="123" spans="1:11" x14ac:dyDescent="0.25">
      <c r="A123" s="13"/>
      <c r="B123" s="13"/>
      <c r="C123" s="13"/>
      <c r="D123" s="16"/>
      <c r="E123" s="13"/>
      <c r="F123" s="13"/>
      <c r="G123" s="13"/>
      <c r="H123" s="13"/>
      <c r="I123" s="13"/>
      <c r="J123" s="13"/>
      <c r="K123" s="13"/>
    </row>
    <row r="124" spans="1:11" x14ac:dyDescent="0.25">
      <c r="A124" s="13"/>
      <c r="B124" s="13"/>
      <c r="C124" s="13"/>
      <c r="D124" s="16"/>
      <c r="E124" s="13"/>
      <c r="F124" s="13"/>
      <c r="G124" s="13"/>
      <c r="H124" s="13"/>
      <c r="I124" s="13"/>
      <c r="J124" s="13"/>
      <c r="K124" s="13"/>
    </row>
    <row r="125" spans="1:11" x14ac:dyDescent="0.25">
      <c r="A125" s="13"/>
      <c r="B125" s="13"/>
      <c r="C125" s="13"/>
      <c r="D125" s="16"/>
      <c r="E125" s="13"/>
      <c r="F125" s="13"/>
      <c r="G125" s="13"/>
      <c r="H125" s="13"/>
      <c r="I125" s="13"/>
      <c r="J125" s="13"/>
      <c r="K125" s="13"/>
    </row>
    <row r="126" spans="1:11" x14ac:dyDescent="0.25">
      <c r="A126" s="13"/>
      <c r="B126" s="13"/>
      <c r="C126" s="13"/>
      <c r="D126" s="16"/>
      <c r="E126" s="13"/>
      <c r="F126" s="13"/>
      <c r="G126" s="13"/>
      <c r="H126" s="13"/>
      <c r="I126" s="13"/>
      <c r="J126" s="13"/>
      <c r="K126" s="13"/>
    </row>
    <row r="127" spans="1:11" x14ac:dyDescent="0.25">
      <c r="A127" s="13"/>
      <c r="B127" s="13"/>
      <c r="C127" s="13"/>
      <c r="D127" s="16"/>
      <c r="E127" s="13"/>
      <c r="F127" s="13"/>
      <c r="G127" s="13"/>
      <c r="H127" s="13"/>
      <c r="I127" s="13"/>
      <c r="J127" s="13"/>
      <c r="K127" s="13"/>
    </row>
    <row r="128" spans="1:11" x14ac:dyDescent="0.25">
      <c r="A128" s="13"/>
      <c r="B128" s="13"/>
      <c r="C128" s="13"/>
      <c r="D128" s="16"/>
      <c r="E128" s="13"/>
      <c r="F128" s="13"/>
      <c r="G128" s="13"/>
      <c r="H128" s="13"/>
      <c r="I128" s="13"/>
      <c r="J128" s="13"/>
      <c r="K128" s="13"/>
    </row>
    <row r="129" spans="1:11" x14ac:dyDescent="0.25">
      <c r="A129" s="13"/>
      <c r="B129" s="13"/>
      <c r="C129" s="13"/>
      <c r="D129" s="16"/>
      <c r="E129" s="13"/>
      <c r="F129" s="13"/>
      <c r="G129" s="13"/>
      <c r="H129" s="13"/>
      <c r="I129" s="13"/>
      <c r="J129" s="13"/>
      <c r="K129" s="13"/>
    </row>
    <row r="130" spans="1:11" x14ac:dyDescent="0.25">
      <c r="A130" s="13"/>
      <c r="B130" s="13"/>
      <c r="C130" s="13"/>
      <c r="D130" s="16"/>
      <c r="E130" s="13"/>
      <c r="F130" s="13"/>
      <c r="G130" s="13"/>
      <c r="H130" s="13"/>
      <c r="I130" s="13"/>
      <c r="J130" s="13"/>
      <c r="K130" s="13"/>
    </row>
    <row r="131" spans="1:11" x14ac:dyDescent="0.25">
      <c r="A131" s="13"/>
      <c r="B131" s="13"/>
      <c r="C131" s="13"/>
      <c r="D131" s="16"/>
      <c r="E131" s="13"/>
      <c r="F131" s="13"/>
      <c r="G131" s="13"/>
      <c r="H131" s="13"/>
      <c r="I131" s="13"/>
      <c r="J131" s="13"/>
      <c r="K131" s="13"/>
    </row>
    <row r="132" spans="1:11" x14ac:dyDescent="0.25">
      <c r="A132" s="13"/>
      <c r="B132" s="13"/>
      <c r="C132" s="13"/>
      <c r="D132" s="16"/>
      <c r="E132" s="13"/>
      <c r="F132" s="13"/>
      <c r="G132" s="13"/>
      <c r="H132" s="13"/>
      <c r="I132" s="13"/>
      <c r="J132" s="13"/>
      <c r="K132" s="13"/>
    </row>
    <row r="133" spans="1:11" x14ac:dyDescent="0.25">
      <c r="A133" s="13"/>
      <c r="B133" s="13"/>
      <c r="C133" s="13"/>
      <c r="D133" s="16"/>
      <c r="E133" s="13"/>
      <c r="F133" s="13"/>
      <c r="G133" s="13"/>
      <c r="H133" s="13"/>
      <c r="I133" s="13"/>
      <c r="J133" s="13"/>
      <c r="K133" s="13"/>
    </row>
    <row r="134" spans="1:11" x14ac:dyDescent="0.25">
      <c r="A134" s="13"/>
      <c r="B134" s="13"/>
      <c r="C134" s="13"/>
      <c r="D134" s="16"/>
      <c r="E134" s="13"/>
      <c r="F134" s="13"/>
      <c r="G134" s="13"/>
      <c r="H134" s="13"/>
      <c r="I134" s="13"/>
      <c r="J134" s="13"/>
      <c r="K134" s="13"/>
    </row>
    <row r="135" spans="1:11" x14ac:dyDescent="0.25">
      <c r="A135" s="13"/>
      <c r="B135" s="13"/>
      <c r="C135" s="13"/>
      <c r="D135" s="16"/>
      <c r="E135" s="13"/>
      <c r="F135" s="13"/>
      <c r="G135" s="13"/>
      <c r="H135" s="13"/>
      <c r="I135" s="13"/>
      <c r="J135" s="13"/>
      <c r="K135" s="13"/>
    </row>
    <row r="136" spans="1:11" x14ac:dyDescent="0.25">
      <c r="A136" s="13"/>
      <c r="B136" s="13"/>
      <c r="C136" s="13"/>
      <c r="D136" s="16"/>
      <c r="E136" s="13"/>
      <c r="F136" s="13"/>
      <c r="G136" s="13"/>
      <c r="H136" s="13"/>
      <c r="I136" s="13"/>
      <c r="J136" s="13"/>
      <c r="K136" s="13"/>
    </row>
    <row r="137" spans="1:11" x14ac:dyDescent="0.25">
      <c r="A137" s="13"/>
      <c r="B137" s="13"/>
      <c r="C137" s="13"/>
      <c r="D137" s="16"/>
      <c r="E137" s="13"/>
      <c r="F137" s="13"/>
      <c r="G137" s="13"/>
      <c r="H137" s="13"/>
      <c r="I137" s="13"/>
      <c r="J137" s="13"/>
      <c r="K137" s="13"/>
    </row>
    <row r="138" spans="1:11" x14ac:dyDescent="0.25">
      <c r="A138" s="13"/>
      <c r="B138" s="13"/>
      <c r="C138" s="13"/>
      <c r="D138" s="16"/>
      <c r="E138" s="13"/>
      <c r="F138" s="13"/>
      <c r="G138" s="13"/>
      <c r="H138" s="13"/>
      <c r="I138" s="13"/>
      <c r="J138" s="13"/>
      <c r="K138" s="13"/>
    </row>
    <row r="139" spans="1:11" x14ac:dyDescent="0.25">
      <c r="A139" s="13"/>
      <c r="B139" s="13"/>
      <c r="C139" s="13"/>
      <c r="D139" s="16"/>
      <c r="E139" s="13"/>
      <c r="F139" s="13"/>
      <c r="G139" s="13"/>
      <c r="H139" s="13"/>
      <c r="I139" s="13"/>
      <c r="J139" s="13"/>
      <c r="K139" s="13"/>
    </row>
    <row r="140" spans="1:11" x14ac:dyDescent="0.25">
      <c r="A140" s="13"/>
      <c r="B140" s="13"/>
      <c r="C140" s="13"/>
      <c r="D140" s="16"/>
      <c r="E140" s="13"/>
      <c r="F140" s="13"/>
      <c r="G140" s="13"/>
      <c r="H140" s="13"/>
      <c r="I140" s="13"/>
      <c r="J140" s="13"/>
      <c r="K140" s="13"/>
    </row>
    <row r="141" spans="1:11" x14ac:dyDescent="0.25">
      <c r="A141" s="13"/>
      <c r="B141" s="13"/>
      <c r="C141" s="13"/>
      <c r="D141" s="16"/>
      <c r="E141" s="13"/>
      <c r="F141" s="13"/>
      <c r="G141" s="13"/>
      <c r="H141" s="13"/>
      <c r="I141" s="13"/>
      <c r="J141" s="13"/>
      <c r="K141" s="13"/>
    </row>
    <row r="142" spans="1:11" x14ac:dyDescent="0.25">
      <c r="A142" s="13"/>
      <c r="B142" s="13"/>
      <c r="C142" s="13"/>
      <c r="D142" s="16"/>
      <c r="E142" s="13"/>
      <c r="F142" s="13"/>
      <c r="G142" s="13"/>
      <c r="H142" s="13"/>
      <c r="I142" s="13"/>
      <c r="J142" s="13"/>
      <c r="K142" s="13"/>
    </row>
    <row r="143" spans="1:11" x14ac:dyDescent="0.25">
      <c r="A143" s="13"/>
      <c r="B143" s="13"/>
      <c r="C143" s="13"/>
      <c r="D143" s="16"/>
      <c r="E143" s="13"/>
      <c r="F143" s="13"/>
      <c r="G143" s="13"/>
      <c r="H143" s="13"/>
      <c r="I143" s="13"/>
      <c r="J143" s="13"/>
      <c r="K143" s="13"/>
    </row>
    <row r="144" spans="1:11" x14ac:dyDescent="0.25">
      <c r="A144" s="13"/>
      <c r="B144" s="13"/>
      <c r="C144" s="13"/>
      <c r="D144" s="16"/>
      <c r="E144" s="13"/>
      <c r="F144" s="13"/>
      <c r="G144" s="13"/>
      <c r="H144" s="13"/>
      <c r="I144" s="13"/>
      <c r="J144" s="13"/>
      <c r="K144" s="13"/>
    </row>
    <row r="145" spans="1:11" x14ac:dyDescent="0.25">
      <c r="A145" s="13"/>
      <c r="B145" s="13"/>
      <c r="C145" s="13"/>
      <c r="D145" s="16"/>
      <c r="E145" s="13"/>
      <c r="F145" s="13"/>
      <c r="G145" s="13"/>
      <c r="H145" s="13"/>
      <c r="I145" s="13"/>
      <c r="J145" s="13"/>
      <c r="K145" s="13"/>
    </row>
    <row r="146" spans="1:11" x14ac:dyDescent="0.25">
      <c r="A146" s="13"/>
      <c r="B146" s="13"/>
      <c r="C146" s="13"/>
      <c r="D146" s="16"/>
      <c r="E146" s="13"/>
      <c r="F146" s="13"/>
      <c r="G146" s="13"/>
      <c r="H146" s="13"/>
      <c r="I146" s="13"/>
      <c r="J146" s="13"/>
      <c r="K146" s="13"/>
    </row>
    <row r="147" spans="1:11" x14ac:dyDescent="0.25">
      <c r="A147" s="13"/>
      <c r="B147" s="13"/>
      <c r="C147" s="13"/>
      <c r="D147" s="16"/>
      <c r="E147" s="13"/>
      <c r="F147" s="13"/>
      <c r="G147" s="13"/>
      <c r="H147" s="13"/>
      <c r="I147" s="13"/>
      <c r="J147" s="13"/>
      <c r="K147" s="13"/>
    </row>
    <row r="148" spans="1:11" x14ac:dyDescent="0.25">
      <c r="A148" s="13"/>
      <c r="B148" s="13"/>
      <c r="C148" s="13"/>
      <c r="D148" s="16"/>
      <c r="E148" s="13"/>
      <c r="F148" s="13"/>
      <c r="G148" s="13"/>
      <c r="H148" s="13"/>
      <c r="I148" s="13"/>
      <c r="J148" s="13"/>
      <c r="K148" s="13"/>
    </row>
    <row r="149" spans="1:11" x14ac:dyDescent="0.25">
      <c r="A149" s="13"/>
      <c r="B149" s="13"/>
      <c r="C149" s="13"/>
      <c r="D149" s="16"/>
      <c r="E149" s="13"/>
      <c r="F149" s="13"/>
      <c r="G149" s="13"/>
      <c r="H149" s="13"/>
      <c r="I149" s="13"/>
      <c r="J149" s="13"/>
      <c r="K149" s="13"/>
    </row>
    <row r="150" spans="1:11" x14ac:dyDescent="0.25">
      <c r="A150" s="13"/>
      <c r="B150" s="13"/>
      <c r="C150" s="13"/>
      <c r="D150" s="16"/>
      <c r="E150" s="13"/>
      <c r="F150" s="13"/>
      <c r="G150" s="13"/>
      <c r="H150" s="13"/>
      <c r="I150" s="13"/>
      <c r="J150" s="13"/>
      <c r="K150" s="13"/>
    </row>
    <row r="151" spans="1:11" x14ac:dyDescent="0.25">
      <c r="A151" s="13"/>
      <c r="B151" s="13"/>
      <c r="C151" s="13"/>
      <c r="D151" s="16"/>
      <c r="E151" s="13"/>
      <c r="F151" s="13"/>
      <c r="G151" s="13"/>
      <c r="H151" s="13"/>
      <c r="I151" s="13"/>
      <c r="J151" s="13"/>
      <c r="K151" s="1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/>
    <sheetView workbookViewId="1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B1:C154"/>
  <sheetViews>
    <sheetView topLeftCell="A9" workbookViewId="0">
      <selection activeCell="B2" sqref="B1:C101"/>
    </sheetView>
    <sheetView workbookViewId="1"/>
  </sheetViews>
  <sheetFormatPr baseColWidth="10" defaultRowHeight="15" x14ac:dyDescent="0.25"/>
  <cols>
    <col min="2" max="2" width="22" customWidth="1"/>
    <col min="3" max="3" width="18.7109375" customWidth="1"/>
  </cols>
  <sheetData>
    <row r="1" spans="2:3" ht="21" x14ac:dyDescent="0.35">
      <c r="B1" s="5" t="s">
        <v>18</v>
      </c>
      <c r="C1" s="5" t="s">
        <v>0</v>
      </c>
    </row>
    <row r="2" spans="2:3" ht="21" x14ac:dyDescent="0.35">
      <c r="B2" s="5" t="s">
        <v>49</v>
      </c>
      <c r="C2" s="5">
        <v>1</v>
      </c>
    </row>
    <row r="3" spans="2:3" ht="21" x14ac:dyDescent="0.35">
      <c r="B3" s="5" t="s">
        <v>55</v>
      </c>
      <c r="C3" s="5">
        <v>2</v>
      </c>
    </row>
    <row r="4" spans="2:3" ht="21" x14ac:dyDescent="0.35">
      <c r="B4" s="5" t="s">
        <v>59</v>
      </c>
      <c r="C4" s="5">
        <v>3</v>
      </c>
    </row>
    <row r="5" spans="2:3" ht="21" x14ac:dyDescent="0.35">
      <c r="B5" s="5" t="s">
        <v>61</v>
      </c>
      <c r="C5" s="5">
        <v>4</v>
      </c>
    </row>
    <row r="6" spans="2:3" ht="21" x14ac:dyDescent="0.35">
      <c r="B6" s="5" t="s">
        <v>66</v>
      </c>
      <c r="C6" s="5">
        <v>5</v>
      </c>
    </row>
    <row r="7" spans="2:3" ht="21" x14ac:dyDescent="0.35">
      <c r="B7" s="5" t="s">
        <v>69</v>
      </c>
      <c r="C7" s="5">
        <v>6</v>
      </c>
    </row>
    <row r="8" spans="2:3" ht="21" x14ac:dyDescent="0.35">
      <c r="B8" s="5" t="s">
        <v>72</v>
      </c>
      <c r="C8" s="5">
        <v>7</v>
      </c>
    </row>
    <row r="9" spans="2:3" ht="21" x14ac:dyDescent="0.35">
      <c r="B9" s="5" t="s">
        <v>76</v>
      </c>
      <c r="C9" s="5">
        <v>8</v>
      </c>
    </row>
    <row r="10" spans="2:3" ht="21" x14ac:dyDescent="0.35">
      <c r="B10" s="5" t="s">
        <v>79</v>
      </c>
      <c r="C10" s="5">
        <v>9</v>
      </c>
    </row>
    <row r="11" spans="2:3" ht="21" x14ac:dyDescent="0.35">
      <c r="B11" s="5" t="s">
        <v>49</v>
      </c>
      <c r="C11" s="5">
        <v>10</v>
      </c>
    </row>
    <row r="12" spans="2:3" ht="21" x14ac:dyDescent="0.35">
      <c r="B12" s="5" t="s">
        <v>83</v>
      </c>
      <c r="C12" s="5">
        <v>11</v>
      </c>
    </row>
    <row r="13" spans="2:3" ht="21" x14ac:dyDescent="0.35">
      <c r="B13" s="5" t="s">
        <v>86</v>
      </c>
      <c r="C13" s="5">
        <v>12</v>
      </c>
    </row>
    <row r="14" spans="2:3" ht="21" x14ac:dyDescent="0.35">
      <c r="B14" s="5" t="s">
        <v>247</v>
      </c>
      <c r="C14" s="5">
        <v>13</v>
      </c>
    </row>
    <row r="15" spans="2:3" ht="21" x14ac:dyDescent="0.35">
      <c r="B15" s="5" t="s">
        <v>91</v>
      </c>
      <c r="C15" s="5">
        <v>14</v>
      </c>
    </row>
    <row r="16" spans="2:3" ht="21" x14ac:dyDescent="0.35">
      <c r="B16" s="5" t="s">
        <v>94</v>
      </c>
      <c r="C16" s="5">
        <v>15</v>
      </c>
    </row>
    <row r="17" spans="2:3" ht="21" x14ac:dyDescent="0.35">
      <c r="B17" s="5" t="s">
        <v>96</v>
      </c>
      <c r="C17" s="5">
        <v>16</v>
      </c>
    </row>
    <row r="18" spans="2:3" ht="21" x14ac:dyDescent="0.35">
      <c r="B18" s="5" t="s">
        <v>98</v>
      </c>
      <c r="C18" s="5">
        <v>17</v>
      </c>
    </row>
    <row r="19" spans="2:3" ht="21" x14ac:dyDescent="0.35">
      <c r="B19" s="5" t="s">
        <v>100</v>
      </c>
      <c r="C19" s="5">
        <v>18</v>
      </c>
    </row>
    <row r="20" spans="2:3" ht="21" x14ac:dyDescent="0.35">
      <c r="B20" s="5" t="s">
        <v>102</v>
      </c>
      <c r="C20" s="5">
        <v>19</v>
      </c>
    </row>
    <row r="21" spans="2:3" ht="21" x14ac:dyDescent="0.35">
      <c r="B21" s="5" t="s">
        <v>106</v>
      </c>
      <c r="C21" s="5">
        <v>20</v>
      </c>
    </row>
    <row r="22" spans="2:3" ht="21" x14ac:dyDescent="0.35">
      <c r="B22" s="5" t="s">
        <v>109</v>
      </c>
      <c r="C22" s="5">
        <v>21</v>
      </c>
    </row>
    <row r="23" spans="2:3" ht="21" x14ac:dyDescent="0.35">
      <c r="B23" s="5" t="s">
        <v>112</v>
      </c>
      <c r="C23" s="5">
        <v>22</v>
      </c>
    </row>
    <row r="24" spans="2:3" ht="21" x14ac:dyDescent="0.35">
      <c r="B24" s="5" t="s">
        <v>117</v>
      </c>
      <c r="C24" s="5">
        <v>23</v>
      </c>
    </row>
    <row r="25" spans="2:3" ht="21" x14ac:dyDescent="0.35">
      <c r="B25" s="5" t="s">
        <v>120</v>
      </c>
      <c r="C25" s="5">
        <v>24</v>
      </c>
    </row>
    <row r="26" spans="2:3" ht="21" x14ac:dyDescent="0.35">
      <c r="B26" s="5" t="s">
        <v>123</v>
      </c>
      <c r="C26" s="5">
        <v>25</v>
      </c>
    </row>
    <row r="27" spans="2:3" ht="21" x14ac:dyDescent="0.35">
      <c r="B27" s="5" t="s">
        <v>79</v>
      </c>
      <c r="C27" s="5">
        <v>26</v>
      </c>
    </row>
    <row r="28" spans="2:3" ht="21" x14ac:dyDescent="0.35">
      <c r="B28" s="5" t="s">
        <v>79</v>
      </c>
      <c r="C28" s="5">
        <v>27</v>
      </c>
    </row>
    <row r="29" spans="2:3" ht="21" x14ac:dyDescent="0.35">
      <c r="B29" s="5" t="s">
        <v>127</v>
      </c>
      <c r="C29" s="5">
        <v>28</v>
      </c>
    </row>
    <row r="30" spans="2:3" ht="21" x14ac:dyDescent="0.35">
      <c r="B30" s="5" t="s">
        <v>129</v>
      </c>
      <c r="C30" s="5">
        <v>29</v>
      </c>
    </row>
    <row r="31" spans="2:3" ht="21" x14ac:dyDescent="0.35">
      <c r="B31" s="5" t="s">
        <v>86</v>
      </c>
      <c r="C31" s="5">
        <v>30</v>
      </c>
    </row>
    <row r="32" spans="2:3" ht="21" x14ac:dyDescent="0.35">
      <c r="B32" s="5" t="s">
        <v>83</v>
      </c>
      <c r="C32" s="5">
        <v>31</v>
      </c>
    </row>
    <row r="33" spans="2:3" ht="21" x14ac:dyDescent="0.35">
      <c r="B33" s="5" t="s">
        <v>79</v>
      </c>
      <c r="C33" s="5">
        <v>32</v>
      </c>
    </row>
    <row r="34" spans="2:3" ht="21" x14ac:dyDescent="0.35">
      <c r="B34" s="5" t="s">
        <v>79</v>
      </c>
      <c r="C34" s="5">
        <v>33</v>
      </c>
    </row>
    <row r="35" spans="2:3" ht="21" x14ac:dyDescent="0.35">
      <c r="B35" s="5" t="s">
        <v>138</v>
      </c>
      <c r="C35" s="5">
        <v>34</v>
      </c>
    </row>
    <row r="36" spans="2:3" ht="21" x14ac:dyDescent="0.35">
      <c r="B36" s="5" t="s">
        <v>76</v>
      </c>
      <c r="C36" s="5">
        <v>35</v>
      </c>
    </row>
    <row r="37" spans="2:3" ht="21" x14ac:dyDescent="0.35">
      <c r="B37" s="5" t="s">
        <v>76</v>
      </c>
      <c r="C37" s="5">
        <v>36</v>
      </c>
    </row>
    <row r="38" spans="2:3" ht="21" x14ac:dyDescent="0.35">
      <c r="B38" s="5" t="s">
        <v>144</v>
      </c>
      <c r="C38" s="5">
        <v>37</v>
      </c>
    </row>
    <row r="39" spans="2:3" ht="21" x14ac:dyDescent="0.35">
      <c r="B39" s="5" t="s">
        <v>55</v>
      </c>
      <c r="C39" s="5">
        <v>38</v>
      </c>
    </row>
    <row r="40" spans="2:3" ht="21" x14ac:dyDescent="0.35">
      <c r="B40" s="5" t="s">
        <v>138</v>
      </c>
      <c r="C40" s="5">
        <v>39</v>
      </c>
    </row>
    <row r="41" spans="2:3" ht="21" x14ac:dyDescent="0.35">
      <c r="B41" s="5" t="s">
        <v>138</v>
      </c>
      <c r="C41" s="5">
        <v>40</v>
      </c>
    </row>
    <row r="42" spans="2:3" ht="21" x14ac:dyDescent="0.35">
      <c r="B42" s="5" t="s">
        <v>156</v>
      </c>
      <c r="C42" s="5">
        <v>41</v>
      </c>
    </row>
    <row r="43" spans="2:3" ht="21" x14ac:dyDescent="0.35">
      <c r="B43" s="5" t="s">
        <v>161</v>
      </c>
      <c r="C43" s="5">
        <v>42</v>
      </c>
    </row>
    <row r="44" spans="2:3" ht="21" x14ac:dyDescent="0.35">
      <c r="B44" s="5" t="s">
        <v>165</v>
      </c>
      <c r="C44" s="5">
        <v>43</v>
      </c>
    </row>
    <row r="45" spans="2:3" ht="21" x14ac:dyDescent="0.35">
      <c r="B45" s="5" t="s">
        <v>165</v>
      </c>
      <c r="C45" s="5">
        <v>44</v>
      </c>
    </row>
    <row r="46" spans="2:3" ht="21" x14ac:dyDescent="0.35">
      <c r="B46" s="5" t="s">
        <v>76</v>
      </c>
      <c r="C46" s="5">
        <v>45</v>
      </c>
    </row>
    <row r="47" spans="2:3" ht="21" x14ac:dyDescent="0.35">
      <c r="B47" s="5" t="s">
        <v>76</v>
      </c>
      <c r="C47" s="5">
        <v>46</v>
      </c>
    </row>
    <row r="48" spans="2:3" ht="21" x14ac:dyDescent="0.35">
      <c r="B48" s="5" t="s">
        <v>76</v>
      </c>
      <c r="C48" s="5">
        <v>47</v>
      </c>
    </row>
    <row r="49" spans="2:3" ht="21" x14ac:dyDescent="0.35">
      <c r="B49" s="5" t="s">
        <v>91</v>
      </c>
      <c r="C49" s="5">
        <v>48</v>
      </c>
    </row>
    <row r="50" spans="2:3" ht="21" x14ac:dyDescent="0.35">
      <c r="B50" s="5" t="s">
        <v>173</v>
      </c>
      <c r="C50" s="5">
        <v>49</v>
      </c>
    </row>
    <row r="51" spans="2:3" ht="21" x14ac:dyDescent="0.35">
      <c r="B51" s="5" t="s">
        <v>175</v>
      </c>
      <c r="C51" s="5">
        <v>50</v>
      </c>
    </row>
    <row r="52" spans="2:3" ht="21" x14ac:dyDescent="0.35">
      <c r="B52" s="5" t="s">
        <v>61</v>
      </c>
      <c r="C52" s="5">
        <v>51</v>
      </c>
    </row>
    <row r="53" spans="2:3" ht="21" x14ac:dyDescent="0.35">
      <c r="B53" s="5" t="s">
        <v>61</v>
      </c>
      <c r="C53" s="5">
        <v>52</v>
      </c>
    </row>
    <row r="54" spans="2:3" ht="21" x14ac:dyDescent="0.35">
      <c r="B54" s="5" t="s">
        <v>61</v>
      </c>
      <c r="C54" s="5">
        <v>53</v>
      </c>
    </row>
    <row r="55" spans="2:3" ht="21" x14ac:dyDescent="0.35">
      <c r="B55" s="5" t="s">
        <v>185</v>
      </c>
      <c r="C55" s="5">
        <v>54</v>
      </c>
    </row>
    <row r="56" spans="2:3" ht="21" x14ac:dyDescent="0.35">
      <c r="B56" s="5" t="s">
        <v>188</v>
      </c>
      <c r="C56" s="5">
        <v>55</v>
      </c>
    </row>
    <row r="57" spans="2:3" ht="21" x14ac:dyDescent="0.35">
      <c r="B57" s="5" t="s">
        <v>79</v>
      </c>
      <c r="C57" s="5">
        <v>56</v>
      </c>
    </row>
    <row r="58" spans="2:3" ht="21" x14ac:dyDescent="0.35">
      <c r="B58" s="5" t="s">
        <v>79</v>
      </c>
      <c r="C58" s="5">
        <v>57</v>
      </c>
    </row>
    <row r="59" spans="2:3" ht="21" x14ac:dyDescent="0.35">
      <c r="B59" s="5" t="s">
        <v>79</v>
      </c>
      <c r="C59" s="5">
        <v>58</v>
      </c>
    </row>
    <row r="60" spans="2:3" ht="21" x14ac:dyDescent="0.35">
      <c r="B60" s="5" t="s">
        <v>79</v>
      </c>
      <c r="C60" s="5">
        <v>59</v>
      </c>
    </row>
    <row r="61" spans="2:3" ht="21" x14ac:dyDescent="0.35">
      <c r="B61" s="5" t="s">
        <v>79</v>
      </c>
      <c r="C61" s="5">
        <v>60</v>
      </c>
    </row>
    <row r="62" spans="2:3" ht="21" x14ac:dyDescent="0.35">
      <c r="B62" s="5" t="s">
        <v>88</v>
      </c>
      <c r="C62" s="5">
        <v>61</v>
      </c>
    </row>
    <row r="63" spans="2:3" ht="21" x14ac:dyDescent="0.35">
      <c r="B63" s="5" t="s">
        <v>88</v>
      </c>
      <c r="C63" s="5">
        <v>62</v>
      </c>
    </row>
    <row r="64" spans="2:3" ht="21" x14ac:dyDescent="0.35">
      <c r="B64" s="5" t="s">
        <v>88</v>
      </c>
      <c r="C64" s="5">
        <v>63</v>
      </c>
    </row>
    <row r="65" spans="2:3" ht="21" x14ac:dyDescent="0.35">
      <c r="B65" s="5" t="s">
        <v>202</v>
      </c>
      <c r="C65" s="5">
        <v>64</v>
      </c>
    </row>
    <row r="66" spans="2:3" ht="21" x14ac:dyDescent="0.35">
      <c r="B66" s="5" t="s">
        <v>202</v>
      </c>
      <c r="C66" s="5">
        <v>65</v>
      </c>
    </row>
    <row r="67" spans="2:3" ht="21" x14ac:dyDescent="0.35">
      <c r="B67" s="5" t="s">
        <v>202</v>
      </c>
      <c r="C67" s="5">
        <v>66</v>
      </c>
    </row>
    <row r="68" spans="2:3" ht="21" x14ac:dyDescent="0.35">
      <c r="B68" s="5" t="s">
        <v>120</v>
      </c>
      <c r="C68" s="5">
        <v>67</v>
      </c>
    </row>
    <row r="69" spans="2:3" ht="21" x14ac:dyDescent="0.35">
      <c r="B69" s="5" t="s">
        <v>206</v>
      </c>
      <c r="C69" s="5">
        <v>68</v>
      </c>
    </row>
    <row r="70" spans="2:3" ht="21" x14ac:dyDescent="0.35">
      <c r="B70" s="5" t="s">
        <v>120</v>
      </c>
      <c r="C70" s="5">
        <v>69</v>
      </c>
    </row>
    <row r="71" spans="2:3" ht="21" x14ac:dyDescent="0.35">
      <c r="B71" s="5" t="s">
        <v>120</v>
      </c>
      <c r="C71" s="5">
        <v>70</v>
      </c>
    </row>
    <row r="72" spans="2:3" ht="21" x14ac:dyDescent="0.35">
      <c r="B72" s="5" t="s">
        <v>120</v>
      </c>
      <c r="C72" s="5">
        <v>71</v>
      </c>
    </row>
    <row r="73" spans="2:3" ht="21" x14ac:dyDescent="0.35">
      <c r="B73" s="5" t="s">
        <v>123</v>
      </c>
      <c r="C73" s="5">
        <v>72</v>
      </c>
    </row>
    <row r="74" spans="2:3" ht="21" x14ac:dyDescent="0.35">
      <c r="B74" s="5" t="s">
        <v>212</v>
      </c>
      <c r="C74" s="5">
        <v>73</v>
      </c>
    </row>
    <row r="75" spans="2:3" ht="21" x14ac:dyDescent="0.35">
      <c r="B75" s="5" t="s">
        <v>214</v>
      </c>
      <c r="C75" s="5">
        <v>74</v>
      </c>
    </row>
    <row r="76" spans="2:3" ht="21" x14ac:dyDescent="0.35">
      <c r="B76" s="5" t="s">
        <v>212</v>
      </c>
      <c r="C76" s="5">
        <v>75</v>
      </c>
    </row>
    <row r="77" spans="2:3" ht="21" x14ac:dyDescent="0.35">
      <c r="B77" s="5" t="s">
        <v>138</v>
      </c>
      <c r="C77" s="5">
        <v>76</v>
      </c>
    </row>
    <row r="78" spans="2:3" ht="21" x14ac:dyDescent="0.35">
      <c r="B78" s="5" t="s">
        <v>88</v>
      </c>
      <c r="C78" s="5">
        <v>77</v>
      </c>
    </row>
    <row r="79" spans="2:3" ht="21" x14ac:dyDescent="0.35">
      <c r="B79" s="5" t="s">
        <v>88</v>
      </c>
      <c r="C79" s="5">
        <v>78</v>
      </c>
    </row>
    <row r="80" spans="2:3" ht="21" x14ac:dyDescent="0.35">
      <c r="B80" s="5" t="s">
        <v>175</v>
      </c>
      <c r="C80" s="5">
        <v>79</v>
      </c>
    </row>
    <row r="81" spans="2:3" ht="21" x14ac:dyDescent="0.35">
      <c r="B81" s="5" t="s">
        <v>188</v>
      </c>
      <c r="C81" s="5">
        <v>80</v>
      </c>
    </row>
    <row r="82" spans="2:3" ht="21" x14ac:dyDescent="0.35">
      <c r="B82" s="5" t="s">
        <v>188</v>
      </c>
      <c r="C82" s="5">
        <v>81</v>
      </c>
    </row>
    <row r="83" spans="2:3" ht="21" x14ac:dyDescent="0.35">
      <c r="B83" s="5" t="s">
        <v>188</v>
      </c>
      <c r="C83" s="5">
        <v>82</v>
      </c>
    </row>
    <row r="84" spans="2:3" ht="21" x14ac:dyDescent="0.35">
      <c r="B84" s="5" t="s">
        <v>120</v>
      </c>
      <c r="C84" s="5">
        <v>83</v>
      </c>
    </row>
    <row r="85" spans="2:3" ht="21" x14ac:dyDescent="0.35">
      <c r="B85" s="5" t="s">
        <v>120</v>
      </c>
      <c r="C85" s="5">
        <v>84</v>
      </c>
    </row>
    <row r="86" spans="2:3" ht="21" x14ac:dyDescent="0.35">
      <c r="B86" s="5" t="s">
        <v>83</v>
      </c>
      <c r="C86" s="5">
        <v>85</v>
      </c>
    </row>
    <row r="87" spans="2:3" ht="21" x14ac:dyDescent="0.35">
      <c r="B87" s="5" t="s">
        <v>83</v>
      </c>
      <c r="C87" s="5">
        <v>86</v>
      </c>
    </row>
    <row r="88" spans="2:3" ht="21" x14ac:dyDescent="0.35">
      <c r="B88" s="5" t="s">
        <v>173</v>
      </c>
      <c r="C88" s="5">
        <v>87</v>
      </c>
    </row>
    <row r="89" spans="2:3" ht="21" x14ac:dyDescent="0.35">
      <c r="B89" s="5" t="s">
        <v>79</v>
      </c>
      <c r="C89" s="5">
        <v>88</v>
      </c>
    </row>
    <row r="90" spans="2:3" ht="21" x14ac:dyDescent="0.35">
      <c r="B90" s="5" t="s">
        <v>79</v>
      </c>
      <c r="C90" s="5">
        <v>89</v>
      </c>
    </row>
    <row r="91" spans="2:3" ht="21" x14ac:dyDescent="0.35">
      <c r="B91" s="5" t="s">
        <v>79</v>
      </c>
      <c r="C91" s="5">
        <v>90</v>
      </c>
    </row>
    <row r="92" spans="2:3" ht="21" x14ac:dyDescent="0.35">
      <c r="B92" s="5" t="s">
        <v>98</v>
      </c>
      <c r="C92" s="5">
        <v>91</v>
      </c>
    </row>
    <row r="93" spans="2:3" ht="21" x14ac:dyDescent="0.35">
      <c r="B93" s="5" t="s">
        <v>98</v>
      </c>
      <c r="C93" s="5">
        <v>92</v>
      </c>
    </row>
    <row r="94" spans="2:3" ht="21" x14ac:dyDescent="0.35">
      <c r="B94" s="5" t="s">
        <v>156</v>
      </c>
      <c r="C94" s="5">
        <v>93</v>
      </c>
    </row>
    <row r="95" spans="2:3" ht="21" x14ac:dyDescent="0.35">
      <c r="B95" s="5" t="s">
        <v>156</v>
      </c>
      <c r="C95" s="5">
        <v>94</v>
      </c>
    </row>
    <row r="96" spans="2:3" ht="21" x14ac:dyDescent="0.35">
      <c r="B96" s="5" t="s">
        <v>91</v>
      </c>
      <c r="C96" s="5">
        <v>95</v>
      </c>
    </row>
    <row r="97" spans="2:3" ht="21" x14ac:dyDescent="0.35">
      <c r="B97" s="5" t="s">
        <v>109</v>
      </c>
      <c r="C97" s="5">
        <v>96</v>
      </c>
    </row>
    <row r="98" spans="2:3" ht="21" x14ac:dyDescent="0.35">
      <c r="B98" s="5" t="s">
        <v>240</v>
      </c>
      <c r="C98" s="5">
        <v>97</v>
      </c>
    </row>
    <row r="99" spans="2:3" ht="21" x14ac:dyDescent="0.35">
      <c r="B99" s="5" t="s">
        <v>102</v>
      </c>
      <c r="C99" s="5">
        <v>98</v>
      </c>
    </row>
    <row r="100" spans="2:3" ht="21" x14ac:dyDescent="0.35">
      <c r="B100" s="5" t="s">
        <v>144</v>
      </c>
      <c r="C100" s="5">
        <v>99</v>
      </c>
    </row>
    <row r="101" spans="2:3" ht="21" x14ac:dyDescent="0.35">
      <c r="B101" s="5" t="s">
        <v>120</v>
      </c>
      <c r="C101" s="5">
        <v>100</v>
      </c>
    </row>
    <row r="103" spans="2:3" x14ac:dyDescent="0.25">
      <c r="C103" s="3"/>
    </row>
    <row r="104" spans="2:3" x14ac:dyDescent="0.25">
      <c r="C104" s="3"/>
    </row>
    <row r="105" spans="2:3" x14ac:dyDescent="0.25">
      <c r="C105" s="3"/>
    </row>
    <row r="106" spans="2:3" x14ac:dyDescent="0.25">
      <c r="C106" s="3"/>
    </row>
    <row r="107" spans="2:3" x14ac:dyDescent="0.25">
      <c r="C107" s="3"/>
    </row>
    <row r="108" spans="2:3" x14ac:dyDescent="0.25">
      <c r="C108" s="3"/>
    </row>
    <row r="109" spans="2:3" x14ac:dyDescent="0.25">
      <c r="C109" s="3"/>
    </row>
    <row r="110" spans="2:3" x14ac:dyDescent="0.25">
      <c r="C110" s="3"/>
    </row>
    <row r="111" spans="2:3" x14ac:dyDescent="0.25">
      <c r="C111" s="3"/>
    </row>
    <row r="112" spans="2:3" x14ac:dyDescent="0.25">
      <c r="C112" s="3"/>
    </row>
    <row r="113" spans="3:3" x14ac:dyDescent="0.25">
      <c r="C113" s="3"/>
    </row>
    <row r="114" spans="3:3" x14ac:dyDescent="0.25">
      <c r="C114" s="3"/>
    </row>
    <row r="115" spans="3:3" x14ac:dyDescent="0.25">
      <c r="C115" s="3"/>
    </row>
    <row r="116" spans="3:3" x14ac:dyDescent="0.25">
      <c r="C116" s="3"/>
    </row>
    <row r="117" spans="3:3" x14ac:dyDescent="0.25">
      <c r="C117" s="3"/>
    </row>
    <row r="118" spans="3:3" x14ac:dyDescent="0.25">
      <c r="C118" s="3"/>
    </row>
    <row r="119" spans="3:3" x14ac:dyDescent="0.25">
      <c r="C119" s="3"/>
    </row>
    <row r="120" spans="3:3" x14ac:dyDescent="0.25">
      <c r="C120" s="3"/>
    </row>
    <row r="121" spans="3:3" x14ac:dyDescent="0.25">
      <c r="C121" s="3"/>
    </row>
    <row r="122" spans="3:3" x14ac:dyDescent="0.25">
      <c r="C122" s="3"/>
    </row>
    <row r="123" spans="3:3" x14ac:dyDescent="0.25">
      <c r="C123" s="3"/>
    </row>
    <row r="124" spans="3:3" x14ac:dyDescent="0.25">
      <c r="C124" s="3"/>
    </row>
    <row r="125" spans="3:3" x14ac:dyDescent="0.25">
      <c r="C125" s="3"/>
    </row>
    <row r="126" spans="3:3" x14ac:dyDescent="0.25">
      <c r="C126" s="3"/>
    </row>
    <row r="127" spans="3:3" x14ac:dyDescent="0.25">
      <c r="C127" s="3"/>
    </row>
    <row r="128" spans="3:3" x14ac:dyDescent="0.25">
      <c r="C128" s="3"/>
    </row>
    <row r="129" spans="3:3" x14ac:dyDescent="0.25">
      <c r="C129" s="3"/>
    </row>
    <row r="130" spans="3:3" x14ac:dyDescent="0.25">
      <c r="C130" s="3"/>
    </row>
    <row r="131" spans="3:3" x14ac:dyDescent="0.25">
      <c r="C131" s="3"/>
    </row>
    <row r="132" spans="3:3" x14ac:dyDescent="0.25">
      <c r="C132" s="3"/>
    </row>
    <row r="133" spans="3:3" x14ac:dyDescent="0.25">
      <c r="C133" s="3"/>
    </row>
    <row r="134" spans="3:3" x14ac:dyDescent="0.25">
      <c r="C134" s="3"/>
    </row>
    <row r="135" spans="3:3" x14ac:dyDescent="0.25">
      <c r="C135" s="3"/>
    </row>
    <row r="136" spans="3:3" x14ac:dyDescent="0.25">
      <c r="C136" s="3"/>
    </row>
    <row r="137" spans="3:3" x14ac:dyDescent="0.25">
      <c r="C137" s="3"/>
    </row>
    <row r="138" spans="3:3" x14ac:dyDescent="0.25">
      <c r="C138" s="3"/>
    </row>
    <row r="139" spans="3:3" x14ac:dyDescent="0.25">
      <c r="C139" s="3"/>
    </row>
    <row r="140" spans="3:3" x14ac:dyDescent="0.25">
      <c r="C140" s="3"/>
    </row>
    <row r="141" spans="3:3" x14ac:dyDescent="0.25">
      <c r="C141" s="3"/>
    </row>
    <row r="142" spans="3:3" x14ac:dyDescent="0.25">
      <c r="C142" s="3"/>
    </row>
    <row r="143" spans="3:3" x14ac:dyDescent="0.25">
      <c r="C143" s="3"/>
    </row>
    <row r="144" spans="3:3" x14ac:dyDescent="0.25">
      <c r="C144" s="3"/>
    </row>
    <row r="145" spans="3:3" x14ac:dyDescent="0.25">
      <c r="C145" s="3"/>
    </row>
    <row r="146" spans="3:3" x14ac:dyDescent="0.25">
      <c r="C146" s="3"/>
    </row>
    <row r="147" spans="3:3" x14ac:dyDescent="0.25">
      <c r="C147" s="3"/>
    </row>
    <row r="148" spans="3:3" x14ac:dyDescent="0.25">
      <c r="C148" s="3"/>
    </row>
    <row r="149" spans="3:3" x14ac:dyDescent="0.25">
      <c r="C149" s="3"/>
    </row>
    <row r="150" spans="3:3" x14ac:dyDescent="0.25">
      <c r="C150" s="3"/>
    </row>
    <row r="151" spans="3:3" x14ac:dyDescent="0.25">
      <c r="C151" s="3"/>
    </row>
    <row r="152" spans="3:3" x14ac:dyDescent="0.25">
      <c r="C152" s="3"/>
    </row>
    <row r="153" spans="3:3" x14ac:dyDescent="0.25">
      <c r="C153" s="3"/>
    </row>
    <row r="154" spans="3:3" x14ac:dyDescent="0.25">
      <c r="C154" s="3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C154"/>
  <sheetViews>
    <sheetView workbookViewId="0">
      <selection activeCell="N8" sqref="N8"/>
    </sheetView>
    <sheetView workbookViewId="1"/>
  </sheetViews>
  <sheetFormatPr baseColWidth="10" defaultRowHeight="23.25" x14ac:dyDescent="0.35"/>
  <cols>
    <col min="1" max="1" width="18.28515625" style="7" bestFit="1" customWidth="1"/>
    <col min="2" max="2" width="11.7109375" bestFit="1" customWidth="1"/>
    <col min="3" max="3" width="11.7109375" style="4" bestFit="1" customWidth="1"/>
  </cols>
  <sheetData>
    <row r="1" spans="1:3" ht="21" x14ac:dyDescent="0.35">
      <c r="A1" s="5" t="s">
        <v>3</v>
      </c>
      <c r="B1" s="5" t="s">
        <v>4</v>
      </c>
      <c r="C1" s="8" t="s">
        <v>46</v>
      </c>
    </row>
    <row r="2" spans="1:3" ht="21" x14ac:dyDescent="0.35">
      <c r="A2" s="5">
        <v>165</v>
      </c>
      <c r="B2" s="5">
        <v>55</v>
      </c>
      <c r="C2" s="9">
        <v>20.202020202020204</v>
      </c>
    </row>
    <row r="3" spans="1:3" ht="21" x14ac:dyDescent="0.35">
      <c r="A3" s="5">
        <v>180</v>
      </c>
      <c r="B3" s="5">
        <v>70</v>
      </c>
      <c r="C3" s="9">
        <v>21.604938271604937</v>
      </c>
    </row>
    <row r="4" spans="1:3" ht="21" x14ac:dyDescent="0.35">
      <c r="A4" s="5">
        <v>169</v>
      </c>
      <c r="B4" s="5">
        <v>80</v>
      </c>
      <c r="C4" s="9">
        <v>28.010223731662059</v>
      </c>
    </row>
    <row r="5" spans="1:3" ht="21" x14ac:dyDescent="0.35">
      <c r="A5" s="5">
        <v>187</v>
      </c>
      <c r="B5" s="5">
        <v>76</v>
      </c>
      <c r="C5" s="9">
        <v>21.733535417083701</v>
      </c>
    </row>
    <row r="6" spans="1:3" ht="21" x14ac:dyDescent="0.35">
      <c r="A6" s="5">
        <v>182</v>
      </c>
      <c r="B6" s="5">
        <v>93</v>
      </c>
      <c r="C6" s="9">
        <v>28.076319285110493</v>
      </c>
    </row>
    <row r="7" spans="1:3" ht="21" x14ac:dyDescent="0.35">
      <c r="A7" s="5">
        <v>171</v>
      </c>
      <c r="B7" s="5">
        <v>90</v>
      </c>
      <c r="C7" s="9">
        <v>30.778701138811947</v>
      </c>
    </row>
    <row r="8" spans="1:3" ht="21" x14ac:dyDescent="0.35">
      <c r="A8" s="5">
        <v>175</v>
      </c>
      <c r="B8" s="5">
        <v>55</v>
      </c>
      <c r="C8" s="9">
        <v>17.959183673469386</v>
      </c>
    </row>
    <row r="9" spans="1:3" ht="21" x14ac:dyDescent="0.35">
      <c r="A9" s="5">
        <v>181</v>
      </c>
      <c r="B9" s="5">
        <v>91</v>
      </c>
      <c r="C9" s="9">
        <v>27.776929886145112</v>
      </c>
    </row>
    <row r="10" spans="1:3" ht="21" x14ac:dyDescent="0.35">
      <c r="A10" s="5">
        <v>169</v>
      </c>
      <c r="B10" s="5">
        <v>60</v>
      </c>
      <c r="C10" s="9">
        <v>21.007667798746546</v>
      </c>
    </row>
    <row r="11" spans="1:3" ht="21" x14ac:dyDescent="0.35">
      <c r="A11" s="5">
        <v>190</v>
      </c>
      <c r="B11" s="5">
        <v>110</v>
      </c>
      <c r="C11" s="9">
        <v>30.470914127423825</v>
      </c>
    </row>
    <row r="12" spans="1:3" ht="21" x14ac:dyDescent="0.35">
      <c r="A12" s="5">
        <v>170</v>
      </c>
      <c r="B12" s="5">
        <v>45</v>
      </c>
      <c r="C12" s="9">
        <v>15.570934256055365</v>
      </c>
    </row>
    <row r="13" spans="1:3" ht="21" x14ac:dyDescent="0.35">
      <c r="A13" s="5">
        <v>170</v>
      </c>
      <c r="B13" s="5">
        <v>80</v>
      </c>
      <c r="C13" s="9">
        <v>27.681660899653981</v>
      </c>
    </row>
    <row r="14" spans="1:3" ht="21" x14ac:dyDescent="0.35">
      <c r="A14" s="5">
        <v>159</v>
      </c>
      <c r="B14" s="5">
        <v>80</v>
      </c>
      <c r="C14" s="9">
        <v>31.644317867172973</v>
      </c>
    </row>
    <row r="15" spans="1:3" ht="21" x14ac:dyDescent="0.35">
      <c r="A15" s="5">
        <v>182</v>
      </c>
      <c r="B15" s="5">
        <v>80</v>
      </c>
      <c r="C15" s="9">
        <v>24.151672503320853</v>
      </c>
    </row>
    <row r="16" spans="1:3" ht="21" x14ac:dyDescent="0.35">
      <c r="A16" s="5">
        <v>172</v>
      </c>
      <c r="B16" s="5">
        <v>110</v>
      </c>
      <c r="C16" s="9">
        <v>37.182260681449435</v>
      </c>
    </row>
    <row r="17" spans="1:3" ht="21" x14ac:dyDescent="0.35">
      <c r="A17" s="5">
        <v>172</v>
      </c>
      <c r="B17" s="5">
        <v>58</v>
      </c>
      <c r="C17" s="9">
        <v>19.605191995673341</v>
      </c>
    </row>
    <row r="18" spans="1:3" ht="21" x14ac:dyDescent="0.35">
      <c r="A18" s="5">
        <v>172</v>
      </c>
      <c r="B18" s="5">
        <v>78</v>
      </c>
      <c r="C18" s="9">
        <v>26.365603028664147</v>
      </c>
    </row>
    <row r="19" spans="1:3" ht="21" x14ac:dyDescent="0.35">
      <c r="A19" s="5">
        <v>155</v>
      </c>
      <c r="B19" s="5">
        <v>78</v>
      </c>
      <c r="C19" s="9">
        <v>32.46618106139438</v>
      </c>
    </row>
    <row r="20" spans="1:3" ht="21" x14ac:dyDescent="0.35">
      <c r="A20" s="5">
        <v>162</v>
      </c>
      <c r="B20" s="5">
        <v>78</v>
      </c>
      <c r="C20" s="9">
        <v>29.721079103795148</v>
      </c>
    </row>
    <row r="21" spans="1:3" ht="21" x14ac:dyDescent="0.35">
      <c r="A21" s="5">
        <v>130</v>
      </c>
      <c r="B21" s="5">
        <v>25</v>
      </c>
      <c r="C21" s="9">
        <v>14.792899408284022</v>
      </c>
    </row>
    <row r="22" spans="1:3" ht="21" x14ac:dyDescent="0.35">
      <c r="A22" s="5">
        <v>170</v>
      </c>
      <c r="B22" s="5">
        <v>95</v>
      </c>
      <c r="C22" s="9">
        <v>32.871972318339104</v>
      </c>
    </row>
    <row r="23" spans="1:3" ht="21" x14ac:dyDescent="0.35">
      <c r="A23" s="5">
        <v>170</v>
      </c>
      <c r="B23" s="5">
        <v>55</v>
      </c>
      <c r="C23" s="9">
        <v>19.031141868512112</v>
      </c>
    </row>
    <row r="24" spans="1:3" ht="21" x14ac:dyDescent="0.35">
      <c r="A24" s="5">
        <v>167</v>
      </c>
      <c r="B24" s="5">
        <v>115</v>
      </c>
      <c r="C24" s="9">
        <v>41.234895478504072</v>
      </c>
    </row>
    <row r="25" spans="1:3" ht="21" x14ac:dyDescent="0.35">
      <c r="A25" s="5">
        <v>186</v>
      </c>
      <c r="B25" s="5">
        <v>115</v>
      </c>
      <c r="C25" s="9">
        <v>33.240837090993175</v>
      </c>
    </row>
    <row r="26" spans="1:3" ht="21" x14ac:dyDescent="0.35">
      <c r="A26" s="5">
        <v>186</v>
      </c>
      <c r="B26" s="5">
        <v>65</v>
      </c>
      <c r="C26" s="9">
        <v>18.78829922534397</v>
      </c>
    </row>
    <row r="27" spans="1:3" ht="21" x14ac:dyDescent="0.35">
      <c r="A27" s="5">
        <v>186</v>
      </c>
      <c r="B27" s="5">
        <v>62</v>
      </c>
      <c r="C27" s="9">
        <v>17.921146953405014</v>
      </c>
    </row>
    <row r="28" spans="1:3" ht="21" x14ac:dyDescent="0.35">
      <c r="A28" s="5">
        <v>166</v>
      </c>
      <c r="B28" s="5">
        <v>69</v>
      </c>
      <c r="C28" s="9">
        <v>25.039918710988534</v>
      </c>
    </row>
    <row r="29" spans="1:3" ht="21" x14ac:dyDescent="0.35">
      <c r="A29" s="5">
        <v>166</v>
      </c>
      <c r="B29" s="5">
        <v>80</v>
      </c>
      <c r="C29" s="9">
        <v>29.031789809841779</v>
      </c>
    </row>
    <row r="30" spans="1:3" ht="21" x14ac:dyDescent="0.35">
      <c r="A30" s="5">
        <v>155</v>
      </c>
      <c r="B30" s="5">
        <v>101</v>
      </c>
      <c r="C30" s="9">
        <v>42.039542143600414</v>
      </c>
    </row>
    <row r="31" spans="1:3" ht="21" x14ac:dyDescent="0.35">
      <c r="A31" s="5">
        <v>170</v>
      </c>
      <c r="B31" s="5">
        <v>46</v>
      </c>
      <c r="C31" s="9">
        <v>15.91695501730104</v>
      </c>
    </row>
    <row r="32" spans="1:3" ht="21" x14ac:dyDescent="0.35">
      <c r="A32" s="5">
        <v>170</v>
      </c>
      <c r="B32" s="5">
        <v>89</v>
      </c>
      <c r="C32" s="9">
        <v>30.795847750865054</v>
      </c>
    </row>
    <row r="33" spans="1:3" ht="21" x14ac:dyDescent="0.35">
      <c r="A33" s="5">
        <v>178</v>
      </c>
      <c r="B33" s="5">
        <v>89</v>
      </c>
      <c r="C33" s="9">
        <v>28.089887640449437</v>
      </c>
    </row>
    <row r="34" spans="1:3" ht="21" x14ac:dyDescent="0.35">
      <c r="A34" s="5">
        <v>178</v>
      </c>
      <c r="B34" s="5">
        <v>54</v>
      </c>
      <c r="C34" s="9">
        <v>17.043302613306402</v>
      </c>
    </row>
    <row r="35" spans="1:3" ht="21" x14ac:dyDescent="0.35">
      <c r="A35" s="5">
        <v>178</v>
      </c>
      <c r="B35" s="5">
        <v>54</v>
      </c>
      <c r="C35" s="9">
        <v>17.043302613306402</v>
      </c>
    </row>
    <row r="36" spans="1:3" ht="21" x14ac:dyDescent="0.35">
      <c r="A36" s="5">
        <v>180</v>
      </c>
      <c r="B36" s="5">
        <v>76</v>
      </c>
      <c r="C36" s="9">
        <v>23.456790123456788</v>
      </c>
    </row>
    <row r="37" spans="1:3" ht="21" x14ac:dyDescent="0.35">
      <c r="A37" s="5">
        <v>180</v>
      </c>
      <c r="B37" s="5">
        <v>103</v>
      </c>
      <c r="C37" s="9">
        <v>31.79012345679012</v>
      </c>
    </row>
    <row r="38" spans="1:3" ht="21" x14ac:dyDescent="0.35">
      <c r="A38" s="5">
        <v>159</v>
      </c>
      <c r="B38" s="5">
        <v>76</v>
      </c>
      <c r="C38" s="9">
        <v>30.062101973814325</v>
      </c>
    </row>
    <row r="39" spans="1:3" ht="21" x14ac:dyDescent="0.35">
      <c r="A39" s="5">
        <v>178</v>
      </c>
      <c r="B39" s="5">
        <v>90</v>
      </c>
      <c r="C39" s="9">
        <v>28.405504355510669</v>
      </c>
    </row>
    <row r="40" spans="1:3" ht="21" x14ac:dyDescent="0.35">
      <c r="A40" s="5">
        <v>178</v>
      </c>
      <c r="B40" s="5">
        <v>96</v>
      </c>
      <c r="C40" s="9">
        <v>30.299204645878046</v>
      </c>
    </row>
    <row r="41" spans="1:3" ht="21" x14ac:dyDescent="0.35">
      <c r="A41" s="5">
        <v>178</v>
      </c>
      <c r="B41" s="5">
        <v>87</v>
      </c>
      <c r="C41" s="9">
        <v>27.458654210326976</v>
      </c>
    </row>
    <row r="42" spans="1:3" ht="21" x14ac:dyDescent="0.35">
      <c r="A42" s="5">
        <v>178</v>
      </c>
      <c r="B42" s="5">
        <v>62</v>
      </c>
      <c r="C42" s="9">
        <v>19.568236333796236</v>
      </c>
    </row>
    <row r="43" spans="1:3" ht="21" x14ac:dyDescent="0.35">
      <c r="A43" s="5">
        <v>179</v>
      </c>
      <c r="B43" s="5">
        <v>68</v>
      </c>
      <c r="C43" s="9">
        <v>21.222808276895229</v>
      </c>
    </row>
    <row r="44" spans="1:3" ht="21" x14ac:dyDescent="0.35">
      <c r="A44" s="5">
        <v>196</v>
      </c>
      <c r="B44" s="5">
        <v>65</v>
      </c>
      <c r="C44" s="9">
        <v>16.92003331945023</v>
      </c>
    </row>
    <row r="45" spans="1:3" ht="21" x14ac:dyDescent="0.35">
      <c r="A45" s="5">
        <v>161</v>
      </c>
      <c r="B45" s="5">
        <v>65</v>
      </c>
      <c r="C45" s="9">
        <v>25.076193048107708</v>
      </c>
    </row>
    <row r="46" spans="1:3" ht="21" x14ac:dyDescent="0.35">
      <c r="A46" s="5">
        <v>161</v>
      </c>
      <c r="B46" s="5">
        <v>76</v>
      </c>
      <c r="C46" s="9">
        <v>29.319856487018246</v>
      </c>
    </row>
    <row r="47" spans="1:3" ht="21" x14ac:dyDescent="0.35">
      <c r="A47" s="5">
        <v>171</v>
      </c>
      <c r="B47" s="5">
        <v>76</v>
      </c>
      <c r="C47" s="9">
        <v>25.990903183885642</v>
      </c>
    </row>
    <row r="48" spans="1:3" ht="21" x14ac:dyDescent="0.35">
      <c r="A48" s="5">
        <v>171</v>
      </c>
      <c r="B48" s="5">
        <v>86</v>
      </c>
      <c r="C48" s="9">
        <v>29.410758865975858</v>
      </c>
    </row>
    <row r="49" spans="1:3" ht="21" x14ac:dyDescent="0.35">
      <c r="A49" s="5">
        <v>191</v>
      </c>
      <c r="B49" s="5">
        <v>80</v>
      </c>
      <c r="C49" s="9">
        <v>21.929223431375238</v>
      </c>
    </row>
    <row r="50" spans="1:3" ht="21" x14ac:dyDescent="0.35">
      <c r="A50" s="5">
        <v>191</v>
      </c>
      <c r="B50" s="5">
        <v>87</v>
      </c>
      <c r="C50" s="9">
        <v>23.848030481620569</v>
      </c>
    </row>
    <row r="51" spans="1:3" ht="21" x14ac:dyDescent="0.35">
      <c r="A51" s="5">
        <v>167</v>
      </c>
      <c r="B51" s="5">
        <v>87</v>
      </c>
      <c r="C51" s="9">
        <v>31.1950948402596</v>
      </c>
    </row>
    <row r="52" spans="1:3" ht="21" x14ac:dyDescent="0.35">
      <c r="A52" s="5">
        <v>120</v>
      </c>
      <c r="B52" s="5">
        <v>20</v>
      </c>
      <c r="C52" s="9">
        <v>13.888888888888889</v>
      </c>
    </row>
    <row r="53" spans="1:3" ht="21" x14ac:dyDescent="0.35">
      <c r="A53" s="5">
        <v>145</v>
      </c>
      <c r="B53" s="5">
        <v>42</v>
      </c>
      <c r="C53" s="9">
        <v>19.976218787158146</v>
      </c>
    </row>
    <row r="54" spans="1:3" ht="21" x14ac:dyDescent="0.35">
      <c r="A54" s="5">
        <v>145</v>
      </c>
      <c r="B54" s="5">
        <v>68</v>
      </c>
      <c r="C54" s="9">
        <v>32.342449464922709</v>
      </c>
    </row>
    <row r="55" spans="1:3" ht="21" x14ac:dyDescent="0.35">
      <c r="A55" s="5">
        <v>172</v>
      </c>
      <c r="B55" s="5">
        <v>104</v>
      </c>
      <c r="C55" s="9">
        <v>35.154137371552196</v>
      </c>
    </row>
    <row r="56" spans="1:3" ht="21" x14ac:dyDescent="0.35">
      <c r="A56" s="5">
        <v>192</v>
      </c>
      <c r="B56" s="5">
        <v>110</v>
      </c>
      <c r="C56" s="9">
        <v>29.839409722222221</v>
      </c>
    </row>
    <row r="57" spans="1:3" ht="21" x14ac:dyDescent="0.35">
      <c r="A57" s="5">
        <v>192</v>
      </c>
      <c r="B57" s="5">
        <v>89</v>
      </c>
      <c r="C57" s="9">
        <v>24.142795138888889</v>
      </c>
    </row>
    <row r="58" spans="1:3" ht="21" x14ac:dyDescent="0.35">
      <c r="A58" s="5">
        <v>162</v>
      </c>
      <c r="B58" s="5">
        <v>93</v>
      </c>
      <c r="C58" s="9">
        <v>35.436671239140367</v>
      </c>
    </row>
    <row r="59" spans="1:3" ht="21" x14ac:dyDescent="0.35">
      <c r="A59" s="5">
        <v>162</v>
      </c>
      <c r="B59" s="5">
        <v>93</v>
      </c>
      <c r="C59" s="9">
        <v>35.436671239140367</v>
      </c>
    </row>
    <row r="60" spans="1:3" ht="21" x14ac:dyDescent="0.35">
      <c r="A60" s="5">
        <v>162</v>
      </c>
      <c r="B60" s="5">
        <v>65</v>
      </c>
      <c r="C60" s="9">
        <v>24.767565919829291</v>
      </c>
    </row>
    <row r="61" spans="1:3" ht="21" x14ac:dyDescent="0.35">
      <c r="A61" s="5">
        <v>162</v>
      </c>
      <c r="B61" s="5">
        <v>65</v>
      </c>
      <c r="C61" s="9">
        <v>24.767565919829291</v>
      </c>
    </row>
    <row r="62" spans="1:3" ht="21" x14ac:dyDescent="0.35">
      <c r="A62" s="5">
        <v>187</v>
      </c>
      <c r="B62" s="5">
        <v>71</v>
      </c>
      <c r="C62" s="9">
        <v>20.303697560696612</v>
      </c>
    </row>
    <row r="63" spans="1:3" ht="21" x14ac:dyDescent="0.35">
      <c r="A63" s="5">
        <v>187</v>
      </c>
      <c r="B63" s="5">
        <v>91</v>
      </c>
      <c r="C63" s="9">
        <v>26.023048986244955</v>
      </c>
    </row>
    <row r="64" spans="1:3" ht="21" x14ac:dyDescent="0.35">
      <c r="A64" s="5">
        <v>187</v>
      </c>
      <c r="B64" s="5">
        <v>91</v>
      </c>
      <c r="C64" s="9">
        <v>26.023048986244955</v>
      </c>
    </row>
    <row r="65" spans="1:3" ht="21" x14ac:dyDescent="0.35">
      <c r="A65" s="5">
        <v>187</v>
      </c>
      <c r="B65" s="5">
        <v>91</v>
      </c>
      <c r="C65" s="9">
        <v>26.023048986244955</v>
      </c>
    </row>
    <row r="66" spans="1:3" ht="21" x14ac:dyDescent="0.35">
      <c r="A66" s="5">
        <v>187</v>
      </c>
      <c r="B66" s="5">
        <v>91</v>
      </c>
      <c r="C66" s="9">
        <v>26.023048986244955</v>
      </c>
    </row>
    <row r="67" spans="1:3" ht="21" x14ac:dyDescent="0.35">
      <c r="A67" s="5">
        <v>187</v>
      </c>
      <c r="B67" s="5">
        <v>91</v>
      </c>
      <c r="C67" s="9">
        <v>26.023048986244955</v>
      </c>
    </row>
    <row r="68" spans="1:3" ht="21" x14ac:dyDescent="0.35">
      <c r="A68" s="5">
        <v>187</v>
      </c>
      <c r="B68" s="5">
        <v>91</v>
      </c>
      <c r="C68" s="9">
        <v>26.023048986244955</v>
      </c>
    </row>
    <row r="69" spans="1:3" ht="21" x14ac:dyDescent="0.35">
      <c r="A69" s="5">
        <v>187</v>
      </c>
      <c r="B69" s="5">
        <v>91</v>
      </c>
      <c r="C69" s="9">
        <v>26.023048986244955</v>
      </c>
    </row>
    <row r="70" spans="1:3" ht="21" x14ac:dyDescent="0.35">
      <c r="A70" s="5">
        <v>187</v>
      </c>
      <c r="B70" s="5">
        <v>91</v>
      </c>
      <c r="C70" s="9">
        <v>26.023048986244955</v>
      </c>
    </row>
    <row r="71" spans="1:3" ht="21" x14ac:dyDescent="0.35">
      <c r="A71" s="5">
        <v>187</v>
      </c>
      <c r="B71" s="5">
        <v>61</v>
      </c>
      <c r="C71" s="9">
        <v>17.444021847922443</v>
      </c>
    </row>
    <row r="72" spans="1:3" ht="21" x14ac:dyDescent="0.35">
      <c r="A72" s="5">
        <v>187</v>
      </c>
      <c r="B72" s="5">
        <v>61</v>
      </c>
      <c r="C72" s="9">
        <v>17.444021847922443</v>
      </c>
    </row>
    <row r="73" spans="1:3" ht="21" x14ac:dyDescent="0.35">
      <c r="A73" s="5">
        <v>187</v>
      </c>
      <c r="B73" s="5">
        <v>61</v>
      </c>
      <c r="C73" s="9">
        <v>17.444021847922443</v>
      </c>
    </row>
    <row r="74" spans="1:3" ht="21" x14ac:dyDescent="0.35">
      <c r="A74" s="5">
        <v>195</v>
      </c>
      <c r="B74" s="5">
        <v>61</v>
      </c>
      <c r="C74" s="9">
        <v>16.042077580539122</v>
      </c>
    </row>
    <row r="75" spans="1:3" ht="21" x14ac:dyDescent="0.35">
      <c r="A75" s="5">
        <v>195</v>
      </c>
      <c r="B75" s="5">
        <v>87</v>
      </c>
      <c r="C75" s="9">
        <v>22.87968441814596</v>
      </c>
    </row>
    <row r="76" spans="1:3" ht="21" x14ac:dyDescent="0.35">
      <c r="A76" s="5">
        <v>195</v>
      </c>
      <c r="B76" s="5">
        <v>87</v>
      </c>
      <c r="C76" s="9">
        <v>22.87968441814596</v>
      </c>
    </row>
    <row r="77" spans="1:3" ht="21" x14ac:dyDescent="0.35">
      <c r="A77" s="5">
        <v>195</v>
      </c>
      <c r="B77" s="5">
        <v>87</v>
      </c>
      <c r="C77" s="9">
        <v>22.87968441814596</v>
      </c>
    </row>
    <row r="78" spans="1:3" ht="21" x14ac:dyDescent="0.35">
      <c r="A78" s="5">
        <v>156</v>
      </c>
      <c r="B78" s="5">
        <v>87</v>
      </c>
      <c r="C78" s="9">
        <v>35.749506903353051</v>
      </c>
    </row>
    <row r="79" spans="1:3" ht="21" x14ac:dyDescent="0.35">
      <c r="A79" s="5">
        <v>156</v>
      </c>
      <c r="B79" s="5">
        <v>80</v>
      </c>
      <c r="C79" s="9">
        <v>32.873109796186718</v>
      </c>
    </row>
    <row r="80" spans="1:3" ht="21" x14ac:dyDescent="0.35">
      <c r="A80" s="5">
        <v>156</v>
      </c>
      <c r="B80" s="5">
        <v>80</v>
      </c>
      <c r="C80" s="9">
        <v>32.873109796186718</v>
      </c>
    </row>
    <row r="81" spans="1:3" ht="21" x14ac:dyDescent="0.35">
      <c r="A81" s="5">
        <v>156</v>
      </c>
      <c r="B81" s="5">
        <v>80</v>
      </c>
      <c r="C81" s="9">
        <v>32.873109796186718</v>
      </c>
    </row>
    <row r="82" spans="1:3" ht="21" x14ac:dyDescent="0.35">
      <c r="A82" s="5">
        <v>156</v>
      </c>
      <c r="B82" s="5">
        <v>56</v>
      </c>
      <c r="C82" s="9">
        <v>23.011176857330703</v>
      </c>
    </row>
    <row r="83" spans="1:3" ht="21" x14ac:dyDescent="0.35">
      <c r="A83" s="5">
        <v>176</v>
      </c>
      <c r="B83" s="5">
        <v>40</v>
      </c>
      <c r="C83" s="9">
        <v>12.913223140495868</v>
      </c>
    </row>
    <row r="84" spans="1:3" ht="21" x14ac:dyDescent="0.35">
      <c r="A84" s="5">
        <v>195</v>
      </c>
      <c r="B84" s="5">
        <v>51</v>
      </c>
      <c r="C84" s="9">
        <v>13.412228796844182</v>
      </c>
    </row>
    <row r="85" spans="1:3" ht="21" x14ac:dyDescent="0.35">
      <c r="A85" s="5">
        <v>195</v>
      </c>
      <c r="B85" s="5">
        <v>51</v>
      </c>
      <c r="C85" s="9">
        <v>13.412228796844182</v>
      </c>
    </row>
    <row r="86" spans="1:3" ht="21" x14ac:dyDescent="0.35">
      <c r="A86" s="5">
        <v>185</v>
      </c>
      <c r="B86" s="5">
        <v>71</v>
      </c>
      <c r="C86" s="9">
        <v>20.74506939371804</v>
      </c>
    </row>
    <row r="87" spans="1:3" ht="21" x14ac:dyDescent="0.35">
      <c r="A87" s="5">
        <v>155</v>
      </c>
      <c r="B87" s="5">
        <v>71</v>
      </c>
      <c r="C87" s="9">
        <v>29.552549427679498</v>
      </c>
    </row>
    <row r="88" spans="1:3" ht="21" x14ac:dyDescent="0.35">
      <c r="A88" s="5">
        <v>155</v>
      </c>
      <c r="B88" s="5">
        <v>71</v>
      </c>
      <c r="C88" s="9">
        <v>29.552549427679498</v>
      </c>
    </row>
    <row r="89" spans="1:3" ht="21" x14ac:dyDescent="0.35">
      <c r="A89" s="5">
        <v>165</v>
      </c>
      <c r="B89" s="5">
        <v>71</v>
      </c>
      <c r="C89" s="9">
        <v>26.078971533516992</v>
      </c>
    </row>
    <row r="90" spans="1:3" ht="21" x14ac:dyDescent="0.35">
      <c r="A90" s="5">
        <v>165</v>
      </c>
      <c r="B90" s="5">
        <v>81</v>
      </c>
      <c r="C90" s="9">
        <v>29.752066115702483</v>
      </c>
    </row>
    <row r="91" spans="1:3" ht="21" x14ac:dyDescent="0.35">
      <c r="A91" s="5">
        <v>175</v>
      </c>
      <c r="B91" s="5">
        <v>91</v>
      </c>
      <c r="C91" s="9">
        <v>29.714285714285715</v>
      </c>
    </row>
    <row r="92" spans="1:3" ht="21" x14ac:dyDescent="0.35">
      <c r="A92" s="5">
        <v>160</v>
      </c>
      <c r="B92" s="5">
        <v>91</v>
      </c>
      <c r="C92" s="9">
        <v>35.546874999999993</v>
      </c>
    </row>
    <row r="93" spans="1:3" ht="21" x14ac:dyDescent="0.35">
      <c r="A93" s="5">
        <v>173</v>
      </c>
      <c r="B93" s="5">
        <v>72</v>
      </c>
      <c r="C93" s="9">
        <v>24.056934745564501</v>
      </c>
    </row>
    <row r="94" spans="1:3" ht="21" x14ac:dyDescent="0.35">
      <c r="A94" s="5">
        <v>187</v>
      </c>
      <c r="B94" s="5">
        <v>59</v>
      </c>
      <c r="C94" s="9">
        <v>16.872086705367607</v>
      </c>
    </row>
    <row r="95" spans="1:3" ht="21" x14ac:dyDescent="0.35">
      <c r="A95" s="5">
        <v>180</v>
      </c>
      <c r="B95" s="5">
        <v>91</v>
      </c>
      <c r="C95" s="9">
        <v>28.086419753086417</v>
      </c>
    </row>
    <row r="96" spans="1:3" ht="21" x14ac:dyDescent="0.35">
      <c r="A96" s="5">
        <v>180</v>
      </c>
      <c r="B96" s="5">
        <v>54</v>
      </c>
      <c r="C96" s="9">
        <v>16.666666666666664</v>
      </c>
    </row>
    <row r="97" spans="1:3" ht="21" x14ac:dyDescent="0.35">
      <c r="A97" s="5">
        <v>180</v>
      </c>
      <c r="B97" s="5">
        <v>84</v>
      </c>
      <c r="C97" s="9">
        <v>25.925925925925924</v>
      </c>
    </row>
    <row r="98" spans="1:3" ht="21" x14ac:dyDescent="0.35">
      <c r="A98" s="5">
        <v>180</v>
      </c>
      <c r="B98" s="5">
        <v>84</v>
      </c>
      <c r="C98" s="9">
        <v>25.925925925925924</v>
      </c>
    </row>
    <row r="99" spans="1:3" ht="21" x14ac:dyDescent="0.35">
      <c r="A99" s="5">
        <v>165</v>
      </c>
      <c r="B99" s="5">
        <v>96</v>
      </c>
      <c r="C99" s="9">
        <v>35.261707988980717</v>
      </c>
    </row>
    <row r="100" spans="1:3" ht="21" x14ac:dyDescent="0.35">
      <c r="A100" s="5">
        <v>165</v>
      </c>
      <c r="B100" s="5">
        <v>61</v>
      </c>
      <c r="C100" s="9">
        <v>22.4058769513315</v>
      </c>
    </row>
    <row r="101" spans="1:3" ht="21" x14ac:dyDescent="0.35">
      <c r="A101" s="5">
        <v>117</v>
      </c>
      <c r="B101" s="5">
        <v>116</v>
      </c>
      <c r="C101" s="9">
        <v>84.739571919059117</v>
      </c>
    </row>
    <row r="103" spans="1:3" x14ac:dyDescent="0.35">
      <c r="A103" s="6"/>
      <c r="B103" s="3"/>
    </row>
    <row r="104" spans="1:3" x14ac:dyDescent="0.35">
      <c r="A104" s="6"/>
      <c r="B104" s="3"/>
    </row>
    <row r="105" spans="1:3" x14ac:dyDescent="0.35">
      <c r="A105" s="6"/>
      <c r="B105" s="3"/>
    </row>
    <row r="106" spans="1:3" x14ac:dyDescent="0.35">
      <c r="A106" s="6"/>
      <c r="B106" s="3"/>
    </row>
    <row r="107" spans="1:3" x14ac:dyDescent="0.35">
      <c r="A107" s="6"/>
      <c r="B107" s="3"/>
    </row>
    <row r="108" spans="1:3" x14ac:dyDescent="0.35">
      <c r="A108" s="6"/>
      <c r="B108" s="3"/>
    </row>
    <row r="109" spans="1:3" x14ac:dyDescent="0.35">
      <c r="A109" s="6"/>
      <c r="B109" s="3"/>
    </row>
    <row r="110" spans="1:3" x14ac:dyDescent="0.35">
      <c r="A110" s="6"/>
      <c r="B110" s="3"/>
    </row>
    <row r="111" spans="1:3" x14ac:dyDescent="0.35">
      <c r="A111" s="6"/>
      <c r="B111" s="3"/>
    </row>
    <row r="112" spans="1:3" x14ac:dyDescent="0.35">
      <c r="A112" s="6"/>
      <c r="B112" s="3"/>
    </row>
    <row r="113" spans="1:2" x14ac:dyDescent="0.35">
      <c r="A113" s="6"/>
      <c r="B113" s="3"/>
    </row>
    <row r="114" spans="1:2" x14ac:dyDescent="0.35">
      <c r="A114" s="6"/>
      <c r="B114" s="3"/>
    </row>
    <row r="115" spans="1:2" x14ac:dyDescent="0.35">
      <c r="A115" s="6"/>
      <c r="B115" s="3"/>
    </row>
    <row r="116" spans="1:2" x14ac:dyDescent="0.35">
      <c r="A116" s="6"/>
      <c r="B116" s="3"/>
    </row>
    <row r="117" spans="1:2" x14ac:dyDescent="0.35">
      <c r="A117" s="6"/>
      <c r="B117" s="3"/>
    </row>
    <row r="118" spans="1:2" x14ac:dyDescent="0.35">
      <c r="A118" s="6"/>
      <c r="B118" s="3"/>
    </row>
    <row r="119" spans="1:2" x14ac:dyDescent="0.35">
      <c r="A119" s="6"/>
      <c r="B119" s="3"/>
    </row>
    <row r="120" spans="1:2" x14ac:dyDescent="0.35">
      <c r="A120" s="6"/>
      <c r="B120" s="3"/>
    </row>
    <row r="121" spans="1:2" x14ac:dyDescent="0.35">
      <c r="A121" s="6"/>
      <c r="B121" s="3"/>
    </row>
    <row r="122" spans="1:2" x14ac:dyDescent="0.35">
      <c r="A122" s="6"/>
      <c r="B122" s="3"/>
    </row>
    <row r="123" spans="1:2" x14ac:dyDescent="0.35">
      <c r="A123" s="6"/>
      <c r="B123" s="3"/>
    </row>
    <row r="124" spans="1:2" x14ac:dyDescent="0.35">
      <c r="A124" s="6"/>
      <c r="B124" s="3"/>
    </row>
    <row r="125" spans="1:2" x14ac:dyDescent="0.35">
      <c r="A125" s="6"/>
      <c r="B125" s="3"/>
    </row>
    <row r="126" spans="1:2" x14ac:dyDescent="0.35">
      <c r="A126" s="6"/>
      <c r="B126" s="3"/>
    </row>
    <row r="127" spans="1:2" x14ac:dyDescent="0.35">
      <c r="A127" s="6"/>
      <c r="B127" s="3"/>
    </row>
    <row r="128" spans="1:2" x14ac:dyDescent="0.35">
      <c r="A128" s="6"/>
      <c r="B128" s="3"/>
    </row>
    <row r="129" spans="1:2" x14ac:dyDescent="0.35">
      <c r="A129" s="6"/>
      <c r="B129" s="3"/>
    </row>
    <row r="130" spans="1:2" x14ac:dyDescent="0.35">
      <c r="A130" s="6"/>
      <c r="B130" s="3"/>
    </row>
    <row r="131" spans="1:2" x14ac:dyDescent="0.35">
      <c r="A131" s="6"/>
      <c r="B131" s="3"/>
    </row>
    <row r="132" spans="1:2" x14ac:dyDescent="0.35">
      <c r="A132" s="6"/>
      <c r="B132" s="3"/>
    </row>
    <row r="133" spans="1:2" x14ac:dyDescent="0.35">
      <c r="A133" s="6"/>
      <c r="B133" s="3"/>
    </row>
    <row r="134" spans="1:2" x14ac:dyDescent="0.35">
      <c r="A134" s="6"/>
      <c r="B134" s="3"/>
    </row>
    <row r="135" spans="1:2" x14ac:dyDescent="0.35">
      <c r="A135" s="6"/>
      <c r="B135" s="3"/>
    </row>
    <row r="136" spans="1:2" x14ac:dyDescent="0.35">
      <c r="A136" s="6"/>
      <c r="B136" s="3"/>
    </row>
    <row r="137" spans="1:2" x14ac:dyDescent="0.35">
      <c r="A137" s="6"/>
      <c r="B137" s="3"/>
    </row>
    <row r="138" spans="1:2" x14ac:dyDescent="0.35">
      <c r="A138" s="6"/>
      <c r="B138" s="3"/>
    </row>
    <row r="139" spans="1:2" x14ac:dyDescent="0.35">
      <c r="A139" s="6"/>
      <c r="B139" s="3"/>
    </row>
    <row r="140" spans="1:2" x14ac:dyDescent="0.35">
      <c r="A140" s="6"/>
      <c r="B140" s="3"/>
    </row>
    <row r="141" spans="1:2" x14ac:dyDescent="0.35">
      <c r="A141" s="6"/>
      <c r="B141" s="3"/>
    </row>
    <row r="142" spans="1:2" x14ac:dyDescent="0.35">
      <c r="A142" s="6"/>
      <c r="B142" s="3"/>
    </row>
    <row r="143" spans="1:2" x14ac:dyDescent="0.35">
      <c r="A143" s="6"/>
      <c r="B143" s="3"/>
    </row>
    <row r="144" spans="1:2" x14ac:dyDescent="0.35">
      <c r="A144" s="6"/>
      <c r="B144" s="3"/>
    </row>
    <row r="145" spans="1:2" x14ac:dyDescent="0.35">
      <c r="A145" s="6"/>
      <c r="B145" s="3"/>
    </row>
    <row r="146" spans="1:2" x14ac:dyDescent="0.35">
      <c r="A146" s="6"/>
      <c r="B146" s="3"/>
    </row>
    <row r="147" spans="1:2" x14ac:dyDescent="0.35">
      <c r="A147" s="6"/>
      <c r="B147" s="3"/>
    </row>
    <row r="148" spans="1:2" x14ac:dyDescent="0.35">
      <c r="A148" s="6"/>
      <c r="B148" s="3"/>
    </row>
    <row r="149" spans="1:2" x14ac:dyDescent="0.35">
      <c r="A149" s="6"/>
      <c r="B149" s="3"/>
    </row>
    <row r="150" spans="1:2" x14ac:dyDescent="0.35">
      <c r="A150" s="6"/>
      <c r="B150" s="3"/>
    </row>
    <row r="151" spans="1:2" x14ac:dyDescent="0.35">
      <c r="A151" s="6"/>
      <c r="B151" s="3"/>
    </row>
    <row r="152" spans="1:2" x14ac:dyDescent="0.35">
      <c r="A152" s="6"/>
      <c r="B152" s="3"/>
    </row>
    <row r="153" spans="1:2" x14ac:dyDescent="0.35">
      <c r="A153" s="6"/>
      <c r="B153" s="3"/>
    </row>
    <row r="154" spans="1:2" x14ac:dyDescent="0.35">
      <c r="A154" s="6"/>
      <c r="B154" s="3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B8"/>
  <sheetViews>
    <sheetView workbookViewId="0">
      <selection activeCell="B17" sqref="B17"/>
    </sheetView>
    <sheetView workbookViewId="1"/>
  </sheetViews>
  <sheetFormatPr baseColWidth="10" defaultRowHeight="15" x14ac:dyDescent="0.25"/>
  <cols>
    <col min="1" max="1" width="37.5703125" customWidth="1"/>
    <col min="2" max="2" width="18.42578125" customWidth="1"/>
    <col min="3" max="3" width="16.28515625" customWidth="1"/>
    <col min="6" max="6" width="29.85546875" customWidth="1"/>
    <col min="7" max="7" width="24.42578125" customWidth="1"/>
  </cols>
  <sheetData>
    <row r="1" spans="1:2" x14ac:dyDescent="0.25">
      <c r="A1" t="s">
        <v>257</v>
      </c>
      <c r="B1">
        <f>COUNTIF(formulaire!W2:W101,"poids normal")</f>
        <v>25</v>
      </c>
    </row>
    <row r="2" spans="1:2" x14ac:dyDescent="0.25">
      <c r="A2" s="11" t="s">
        <v>250</v>
      </c>
      <c r="B2" s="11">
        <f>COUNTIF(formulaire!W2:W101,"obesite moderee")</f>
        <v>15</v>
      </c>
    </row>
    <row r="3" spans="1:2" x14ac:dyDescent="0.25">
      <c r="A3" s="11" t="s">
        <v>251</v>
      </c>
      <c r="B3" s="11">
        <f>COUNTIF(formulaire!W2:W101,"Obesite severe")</f>
        <v>7</v>
      </c>
    </row>
    <row r="4" spans="1:2" x14ac:dyDescent="0.25">
      <c r="A4" s="11" t="s">
        <v>252</v>
      </c>
      <c r="B4" s="11">
        <f>COUNTIF(formulaire!W4:W101,"surpoids")</f>
        <v>32</v>
      </c>
    </row>
    <row r="5" spans="1:2" ht="15.75" customHeight="1" x14ac:dyDescent="0.25">
      <c r="A5" s="11" t="s">
        <v>253</v>
      </c>
      <c r="B5" s="11">
        <f>COUNTIF(formulaire!W5:W101,"maigreur")</f>
        <v>10</v>
      </c>
    </row>
    <row r="6" spans="1:2" x14ac:dyDescent="0.25">
      <c r="A6" s="11" t="s">
        <v>254</v>
      </c>
      <c r="B6" s="11">
        <f>COUNTIF(formulaire!W6:W102,"obésité morbide ou massive")</f>
        <v>3</v>
      </c>
    </row>
    <row r="7" spans="1:2" x14ac:dyDescent="0.25">
      <c r="A7" s="11" t="s">
        <v>255</v>
      </c>
      <c r="B7" s="11">
        <f>COUNTIF(formulaire!W7:W103,"Dénutrition ou anorexie")</f>
        <v>8</v>
      </c>
    </row>
    <row r="8" spans="1:2" x14ac:dyDescent="0.25">
      <c r="A8" s="10" t="s">
        <v>256</v>
      </c>
      <c r="B8" s="10">
        <f>SUM(B1:B7)</f>
        <v>100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A3"/>
  <sheetViews>
    <sheetView workbookViewId="0">
      <selection activeCell="B8" sqref="B8"/>
    </sheetView>
    <sheetView workbookViewId="1"/>
  </sheetViews>
  <sheetFormatPr baseColWidth="10" defaultRowHeight="15" x14ac:dyDescent="0.25"/>
  <sheetData>
    <row r="1" spans="1:1" x14ac:dyDescent="0.25">
      <c r="A1" t="s">
        <v>27</v>
      </c>
    </row>
    <row r="2" spans="1:1" x14ac:dyDescent="0.25">
      <c r="A2" t="s">
        <v>28</v>
      </c>
    </row>
    <row r="3" spans="1:1" x14ac:dyDescent="0.25">
      <c r="A3" t="s">
        <v>29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A2"/>
  <sheetViews>
    <sheetView workbookViewId="0">
      <selection sqref="A1:A2"/>
    </sheetView>
    <sheetView workbookViewId="1"/>
  </sheetViews>
  <sheetFormatPr baseColWidth="10" defaultRowHeight="15" x14ac:dyDescent="0.25"/>
  <sheetData>
    <row r="1" spans="1:1" x14ac:dyDescent="0.25">
      <c r="A1" s="1" t="s">
        <v>30</v>
      </c>
    </row>
    <row r="2" spans="1:1" x14ac:dyDescent="0.25">
      <c r="A2" t="s">
        <v>31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A4"/>
  <sheetViews>
    <sheetView workbookViewId="0">
      <selection sqref="A1:A4"/>
    </sheetView>
    <sheetView workbookViewId="1"/>
  </sheetViews>
  <sheetFormatPr baseColWidth="10" defaultRowHeight="15" x14ac:dyDescent="0.25"/>
  <sheetData>
    <row r="1" spans="1:1" ht="30" x14ac:dyDescent="0.25">
      <c r="A1" s="2" t="s">
        <v>32</v>
      </c>
    </row>
    <row r="2" spans="1:1" x14ac:dyDescent="0.25">
      <c r="A2" t="s">
        <v>33</v>
      </c>
    </row>
    <row r="3" spans="1:1" x14ac:dyDescent="0.25">
      <c r="A3" t="s">
        <v>34</v>
      </c>
    </row>
    <row r="4" spans="1:1" x14ac:dyDescent="0.25">
      <c r="A4" t="s">
        <v>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A6"/>
  <sheetViews>
    <sheetView workbookViewId="0">
      <selection sqref="A1:A6"/>
    </sheetView>
    <sheetView workbookViewId="1"/>
  </sheetViews>
  <sheetFormatPr baseColWidth="10" defaultRowHeight="15" x14ac:dyDescent="0.25"/>
  <sheetData>
    <row r="1" spans="1:1" x14ac:dyDescent="0.25">
      <c r="A1" s="2" t="s">
        <v>36</v>
      </c>
    </row>
    <row r="2" spans="1:1" x14ac:dyDescent="0.25">
      <c r="A2" t="s">
        <v>37</v>
      </c>
    </row>
    <row r="3" spans="1:1" x14ac:dyDescent="0.25">
      <c r="A3" t="s">
        <v>38</v>
      </c>
    </row>
    <row r="4" spans="1:1" x14ac:dyDescent="0.25">
      <c r="A4" t="s">
        <v>39</v>
      </c>
    </row>
    <row r="5" spans="1:1" x14ac:dyDescent="0.25">
      <c r="A5" t="s">
        <v>40</v>
      </c>
    </row>
    <row r="6" spans="1:1" x14ac:dyDescent="0.25">
      <c r="A6" t="s">
        <v>41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A4"/>
  <sheetViews>
    <sheetView workbookViewId="0">
      <selection sqref="A1:A4"/>
    </sheetView>
    <sheetView workbookViewId="1"/>
  </sheetViews>
  <sheetFormatPr baseColWidth="10" defaultRowHeight="15" x14ac:dyDescent="0.25"/>
  <sheetData>
    <row r="1" spans="1:1" x14ac:dyDescent="0.25">
      <c r="A1" s="1" t="s">
        <v>42</v>
      </c>
    </row>
    <row r="2" spans="1:1" x14ac:dyDescent="0.25">
      <c r="A2" t="s">
        <v>43</v>
      </c>
    </row>
    <row r="3" spans="1:1" x14ac:dyDescent="0.25">
      <c r="A3" t="s">
        <v>44</v>
      </c>
    </row>
    <row r="4" spans="1:1" x14ac:dyDescent="0.25">
      <c r="A4" t="s">
        <v>45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2"/>
  <sheetViews>
    <sheetView workbookViewId="0">
      <selection activeCell="A3" sqref="A3"/>
    </sheetView>
    <sheetView workbookViewId="1"/>
  </sheetViews>
  <sheetFormatPr baseColWidth="10" defaultRowHeight="15" x14ac:dyDescent="0.25"/>
  <sheetData>
    <row r="1" spans="1:1" x14ac:dyDescent="0.25">
      <c r="A1" t="s">
        <v>11</v>
      </c>
    </row>
    <row r="2" spans="1:1" x14ac:dyDescent="0.25">
      <c r="A2" t="s">
        <v>17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2"/>
  <sheetViews>
    <sheetView workbookViewId="0">
      <selection activeCell="A2" sqref="A2"/>
    </sheetView>
    <sheetView workbookViewId="1"/>
  </sheetViews>
  <sheetFormatPr baseColWidth="10" defaultRowHeight="15" x14ac:dyDescent="0.25"/>
  <sheetData>
    <row r="1" spans="1:1" x14ac:dyDescent="0.25">
      <c r="A1" t="s">
        <v>12</v>
      </c>
    </row>
    <row r="2" spans="1:1" x14ac:dyDescent="0.25">
      <c r="A2" t="s">
        <v>13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3"/>
  <sheetViews>
    <sheetView workbookViewId="0">
      <selection activeCell="A3" sqref="A3"/>
    </sheetView>
    <sheetView workbookViewId="1"/>
  </sheetViews>
  <sheetFormatPr baseColWidth="10" defaultRowHeight="15" x14ac:dyDescent="0.25"/>
  <sheetData>
    <row r="1" spans="1:1" x14ac:dyDescent="0.25">
      <c r="A1" t="s">
        <v>14</v>
      </c>
    </row>
    <row r="2" spans="1:1" x14ac:dyDescent="0.25">
      <c r="A2" t="s">
        <v>16</v>
      </c>
    </row>
    <row r="3" spans="1:1" x14ac:dyDescent="0.25">
      <c r="A3" t="s">
        <v>15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2"/>
  <sheetViews>
    <sheetView workbookViewId="0">
      <selection activeCell="A2" sqref="A2"/>
    </sheetView>
    <sheetView workbookViewId="1"/>
  </sheetViews>
  <sheetFormatPr baseColWidth="10" defaultRowHeight="15" x14ac:dyDescent="0.25"/>
  <sheetData>
    <row r="1" spans="1:1" x14ac:dyDescent="0.25">
      <c r="A1" t="s">
        <v>16</v>
      </c>
    </row>
    <row r="2" spans="1:1" x14ac:dyDescent="0.25">
      <c r="A2" t="s">
        <v>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workbookViewId="0"/>
    <sheetView workbookViewId="1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15</vt:i4>
      </vt:variant>
    </vt:vector>
  </HeadingPairs>
  <TitlesOfParts>
    <vt:vector size="15" baseType="lpstr">
      <vt:lpstr>formulaire</vt:lpstr>
      <vt:lpstr>Feuil2</vt:lpstr>
      <vt:lpstr>baton</vt:lpstr>
      <vt:lpstr>nuage_points</vt:lpstr>
      <vt:lpstr>secteur</vt:lpstr>
      <vt:lpstr>INTENSITE</vt:lpstr>
      <vt:lpstr>GRAVITE</vt:lpstr>
      <vt:lpstr>ActPriseEl</vt:lpstr>
      <vt:lpstr>DevSuiteEl</vt:lpstr>
      <vt:lpstr>RelAvectrait</vt:lpstr>
      <vt:lpstr>brastrait</vt:lpstr>
      <vt:lpstr>sexe</vt:lpstr>
      <vt:lpstr>restg</vt:lpstr>
      <vt:lpstr>gepaisse</vt:lpstr>
      <vt:lpstr>feuil1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2020-03-20T16:29:34Z</dcterms:created>
  <dcterms:modified xsi:type="dcterms:W3CDTF">2020-03-26T16:34:43Z</dcterms:modified>
</cp:coreProperties>
</file>